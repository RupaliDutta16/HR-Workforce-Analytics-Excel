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bhudh\Downloads\"/>
    </mc:Choice>
  </mc:AlternateContent>
  <xr:revisionPtr revIDLastSave="0" documentId="8_{FBC6AEC4-301C-4198-8C25-B137DA7C47D6}" xr6:coauthVersionLast="47" xr6:coauthVersionMax="47" xr10:uidLastSave="{00000000-0000-0000-0000-000000000000}"/>
  <bookViews>
    <workbookView xWindow="-120" yWindow="-120" windowWidth="29040" windowHeight="15720" activeTab="3" xr2:uid="{00000000-000D-0000-FFFF-FFFF00000000}"/>
  </bookViews>
  <sheets>
    <sheet name="Data" sheetId="4" r:id="rId1"/>
    <sheet name="Pivot_Table" sheetId="5" r:id="rId2"/>
    <sheet name="Dashboard" sheetId="8" r:id="rId3"/>
    <sheet name="Insights" sheetId="7" r:id="rId4"/>
  </sheets>
  <definedNames>
    <definedName name="_xlnm._FilterDatabase" localSheetId="0" hidden="1">Data!$A$1:$O$1</definedName>
    <definedName name="Slicer_Department">#N/A</definedName>
    <definedName name="Slicer_Department1">#N/A</definedName>
    <definedName name="Slicer_Gender">#N/A</definedName>
    <definedName name="Slicer_Gender1">#N/A</definedName>
    <definedName name="Slicer_Salary_Category">#N/A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4" l="1"/>
  <c r="L1001" i="4"/>
  <c r="K1001" i="4"/>
  <c r="O1001" i="4" s="1"/>
  <c r="N1001" i="4" s="1"/>
  <c r="N1000" i="4"/>
  <c r="M1000" i="4"/>
  <c r="L1000" i="4"/>
  <c r="K1000" i="4"/>
  <c r="O1000" i="4" s="1"/>
  <c r="N999" i="4"/>
  <c r="M999" i="4"/>
  <c r="L999" i="4"/>
  <c r="K999" i="4"/>
  <c r="O999" i="4" s="1"/>
  <c r="N998" i="4"/>
  <c r="M998" i="4"/>
  <c r="L998" i="4"/>
  <c r="K998" i="4"/>
  <c r="N997" i="4"/>
  <c r="M997" i="4"/>
  <c r="L997" i="4"/>
  <c r="K997" i="4"/>
  <c r="N996" i="4"/>
  <c r="M996" i="4"/>
  <c r="L996" i="4"/>
  <c r="K996" i="4"/>
  <c r="N995" i="4"/>
  <c r="M995" i="4"/>
  <c r="L995" i="4"/>
  <c r="K995" i="4"/>
  <c r="O995" i="4" s="1"/>
  <c r="N994" i="4"/>
  <c r="M994" i="4"/>
  <c r="L994" i="4"/>
  <c r="K994" i="4"/>
  <c r="O994" i="4" s="1"/>
  <c r="N993" i="4"/>
  <c r="M993" i="4"/>
  <c r="L993" i="4"/>
  <c r="K993" i="4"/>
  <c r="N992" i="4"/>
  <c r="M992" i="4"/>
  <c r="L992" i="4"/>
  <c r="K992" i="4"/>
  <c r="N991" i="4"/>
  <c r="M991" i="4"/>
  <c r="L991" i="4"/>
  <c r="K991" i="4"/>
  <c r="O991" i="4" s="1"/>
  <c r="N990" i="4"/>
  <c r="M990" i="4"/>
  <c r="L990" i="4"/>
  <c r="K990" i="4"/>
  <c r="O990" i="4" s="1"/>
  <c r="N989" i="4"/>
  <c r="M989" i="4"/>
  <c r="L989" i="4"/>
  <c r="K989" i="4"/>
  <c r="N988" i="4"/>
  <c r="M988" i="4"/>
  <c r="L988" i="4"/>
  <c r="K988" i="4"/>
  <c r="N987" i="4"/>
  <c r="M987" i="4"/>
  <c r="L987" i="4"/>
  <c r="K987" i="4"/>
  <c r="O987" i="4" s="1"/>
  <c r="N986" i="4"/>
  <c r="M986" i="4"/>
  <c r="L986" i="4"/>
  <c r="K986" i="4"/>
  <c r="N985" i="4"/>
  <c r="M985" i="4"/>
  <c r="L985" i="4"/>
  <c r="K985" i="4"/>
  <c r="N984" i="4"/>
  <c r="M984" i="4"/>
  <c r="L984" i="4"/>
  <c r="K984" i="4"/>
  <c r="N983" i="4"/>
  <c r="M983" i="4"/>
  <c r="L983" i="4"/>
  <c r="K983" i="4"/>
  <c r="O983" i="4" s="1"/>
  <c r="N982" i="4"/>
  <c r="M982" i="4"/>
  <c r="L982" i="4"/>
  <c r="K982" i="4"/>
  <c r="N981" i="4"/>
  <c r="M981" i="4"/>
  <c r="L981" i="4"/>
  <c r="K981" i="4"/>
  <c r="N980" i="4"/>
  <c r="M980" i="4"/>
  <c r="L980" i="4"/>
  <c r="K980" i="4"/>
  <c r="N979" i="4"/>
  <c r="M979" i="4"/>
  <c r="L979" i="4"/>
  <c r="K979" i="4"/>
  <c r="O979" i="4" s="1"/>
  <c r="N978" i="4"/>
  <c r="M978" i="4"/>
  <c r="L978" i="4"/>
  <c r="K978" i="4"/>
  <c r="N977" i="4"/>
  <c r="M977" i="4"/>
  <c r="L977" i="4"/>
  <c r="K977" i="4"/>
  <c r="N976" i="4"/>
  <c r="M976" i="4"/>
  <c r="L976" i="4"/>
  <c r="K976" i="4"/>
  <c r="N975" i="4"/>
  <c r="M975" i="4"/>
  <c r="L975" i="4"/>
  <c r="K975" i="4"/>
  <c r="O975" i="4" s="1"/>
  <c r="N974" i="4"/>
  <c r="M974" i="4"/>
  <c r="L974" i="4"/>
  <c r="K974" i="4"/>
  <c r="N973" i="4"/>
  <c r="M973" i="4"/>
  <c r="L973" i="4"/>
  <c r="K973" i="4"/>
  <c r="N972" i="4"/>
  <c r="M972" i="4"/>
  <c r="L972" i="4"/>
  <c r="K972" i="4"/>
  <c r="N971" i="4"/>
  <c r="M971" i="4"/>
  <c r="L971" i="4"/>
  <c r="K971" i="4"/>
  <c r="O971" i="4" s="1"/>
  <c r="N970" i="4"/>
  <c r="M970" i="4"/>
  <c r="L970" i="4"/>
  <c r="K970" i="4"/>
  <c r="N969" i="4"/>
  <c r="M969" i="4"/>
  <c r="L969" i="4"/>
  <c r="K969" i="4"/>
  <c r="N968" i="4"/>
  <c r="M968" i="4"/>
  <c r="L968" i="4"/>
  <c r="K968" i="4"/>
  <c r="N967" i="4"/>
  <c r="M967" i="4"/>
  <c r="L967" i="4"/>
  <c r="K967" i="4"/>
  <c r="O967" i="4" s="1"/>
  <c r="N966" i="4"/>
  <c r="M966" i="4"/>
  <c r="L966" i="4"/>
  <c r="K966" i="4"/>
  <c r="O966" i="4" s="1"/>
  <c r="N965" i="4"/>
  <c r="M965" i="4"/>
  <c r="L965" i="4"/>
  <c r="K965" i="4"/>
  <c r="N964" i="4"/>
  <c r="M964" i="4"/>
  <c r="L964" i="4"/>
  <c r="K964" i="4"/>
  <c r="N963" i="4"/>
  <c r="M963" i="4"/>
  <c r="L963" i="4"/>
  <c r="K963" i="4"/>
  <c r="O963" i="4" s="1"/>
  <c r="N962" i="4"/>
  <c r="M962" i="4"/>
  <c r="L962" i="4"/>
  <c r="K962" i="4"/>
  <c r="O962" i="4" s="1"/>
  <c r="N961" i="4"/>
  <c r="M961" i="4"/>
  <c r="L961" i="4"/>
  <c r="K961" i="4"/>
  <c r="N960" i="4"/>
  <c r="M960" i="4"/>
  <c r="L960" i="4"/>
  <c r="K960" i="4"/>
  <c r="N959" i="4"/>
  <c r="M959" i="4"/>
  <c r="L959" i="4"/>
  <c r="K959" i="4"/>
  <c r="O959" i="4" s="1"/>
  <c r="N958" i="4"/>
  <c r="M958" i="4"/>
  <c r="L958" i="4"/>
  <c r="K958" i="4"/>
  <c r="O958" i="4" s="1"/>
  <c r="N957" i="4"/>
  <c r="M957" i="4"/>
  <c r="L957" i="4"/>
  <c r="K957" i="4"/>
  <c r="N956" i="4"/>
  <c r="M956" i="4"/>
  <c r="L956" i="4"/>
  <c r="K956" i="4"/>
  <c r="N955" i="4"/>
  <c r="M955" i="4"/>
  <c r="L955" i="4"/>
  <c r="K955" i="4"/>
  <c r="O955" i="4" s="1"/>
  <c r="N954" i="4"/>
  <c r="M954" i="4"/>
  <c r="L954" i="4"/>
  <c r="K954" i="4"/>
  <c r="O954" i="4" s="1"/>
  <c r="N953" i="4"/>
  <c r="M953" i="4"/>
  <c r="L953" i="4"/>
  <c r="K953" i="4"/>
  <c r="N952" i="4"/>
  <c r="M952" i="4"/>
  <c r="L952" i="4"/>
  <c r="K952" i="4"/>
  <c r="N951" i="4"/>
  <c r="M951" i="4"/>
  <c r="L951" i="4"/>
  <c r="K951" i="4"/>
  <c r="O951" i="4" s="1"/>
  <c r="N950" i="4"/>
  <c r="M950" i="4"/>
  <c r="L950" i="4"/>
  <c r="K950" i="4"/>
  <c r="N949" i="4"/>
  <c r="M949" i="4"/>
  <c r="L949" i="4"/>
  <c r="K949" i="4"/>
  <c r="N948" i="4"/>
  <c r="M948" i="4"/>
  <c r="L948" i="4"/>
  <c r="K948" i="4"/>
  <c r="N947" i="4"/>
  <c r="M947" i="4"/>
  <c r="L947" i="4"/>
  <c r="K947" i="4"/>
  <c r="O947" i="4" s="1"/>
  <c r="N946" i="4"/>
  <c r="M946" i="4"/>
  <c r="L946" i="4"/>
  <c r="K946" i="4"/>
  <c r="N945" i="4"/>
  <c r="M945" i="4"/>
  <c r="L945" i="4"/>
  <c r="K945" i="4"/>
  <c r="N944" i="4"/>
  <c r="M944" i="4"/>
  <c r="L944" i="4"/>
  <c r="K944" i="4"/>
  <c r="N943" i="4"/>
  <c r="M943" i="4"/>
  <c r="L943" i="4"/>
  <c r="K943" i="4"/>
  <c r="O943" i="4" s="1"/>
  <c r="N942" i="4"/>
  <c r="M942" i="4"/>
  <c r="L942" i="4"/>
  <c r="K942" i="4"/>
  <c r="N941" i="4"/>
  <c r="M941" i="4"/>
  <c r="L941" i="4"/>
  <c r="K941" i="4"/>
  <c r="N940" i="4"/>
  <c r="M940" i="4"/>
  <c r="L940" i="4"/>
  <c r="K940" i="4"/>
  <c r="N939" i="4"/>
  <c r="M939" i="4"/>
  <c r="L939" i="4"/>
  <c r="K939" i="4"/>
  <c r="O939" i="4" s="1"/>
  <c r="N938" i="4"/>
  <c r="M938" i="4"/>
  <c r="L938" i="4"/>
  <c r="K938" i="4"/>
  <c r="O938" i="4" s="1"/>
  <c r="N937" i="4"/>
  <c r="M937" i="4"/>
  <c r="L937" i="4"/>
  <c r="K937" i="4"/>
  <c r="N936" i="4"/>
  <c r="M936" i="4"/>
  <c r="L936" i="4"/>
  <c r="K936" i="4"/>
  <c r="N935" i="4"/>
  <c r="M935" i="4"/>
  <c r="L935" i="4"/>
  <c r="K935" i="4"/>
  <c r="O935" i="4" s="1"/>
  <c r="N934" i="4"/>
  <c r="M934" i="4"/>
  <c r="L934" i="4"/>
  <c r="K934" i="4"/>
  <c r="N933" i="4"/>
  <c r="M933" i="4"/>
  <c r="L933" i="4"/>
  <c r="K933" i="4"/>
  <c r="N932" i="4"/>
  <c r="M932" i="4"/>
  <c r="L932" i="4"/>
  <c r="K932" i="4"/>
  <c r="N931" i="4"/>
  <c r="M931" i="4"/>
  <c r="L931" i="4"/>
  <c r="K931" i="4"/>
  <c r="O931" i="4" s="1"/>
  <c r="N930" i="4"/>
  <c r="M930" i="4"/>
  <c r="L930" i="4"/>
  <c r="K930" i="4"/>
  <c r="O930" i="4" s="1"/>
  <c r="N929" i="4"/>
  <c r="M929" i="4"/>
  <c r="L929" i="4"/>
  <c r="K929" i="4"/>
  <c r="N928" i="4"/>
  <c r="M928" i="4"/>
  <c r="L928" i="4"/>
  <c r="K928" i="4"/>
  <c r="N927" i="4"/>
  <c r="M927" i="4"/>
  <c r="L927" i="4"/>
  <c r="K927" i="4"/>
  <c r="O927" i="4" s="1"/>
  <c r="N926" i="4"/>
  <c r="M926" i="4"/>
  <c r="L926" i="4"/>
  <c r="K926" i="4"/>
  <c r="N925" i="4"/>
  <c r="M925" i="4"/>
  <c r="L925" i="4"/>
  <c r="K925" i="4"/>
  <c r="N924" i="4"/>
  <c r="M924" i="4"/>
  <c r="L924" i="4"/>
  <c r="K924" i="4"/>
  <c r="N923" i="4"/>
  <c r="M923" i="4"/>
  <c r="L923" i="4"/>
  <c r="K923" i="4"/>
  <c r="O923" i="4" s="1"/>
  <c r="N922" i="4"/>
  <c r="M922" i="4"/>
  <c r="L922" i="4"/>
  <c r="K922" i="4"/>
  <c r="O922" i="4" s="1"/>
  <c r="N921" i="4"/>
  <c r="M921" i="4"/>
  <c r="L921" i="4"/>
  <c r="K921" i="4"/>
  <c r="N920" i="4"/>
  <c r="M920" i="4"/>
  <c r="L920" i="4"/>
  <c r="K920" i="4"/>
  <c r="N919" i="4"/>
  <c r="M919" i="4"/>
  <c r="L919" i="4"/>
  <c r="K919" i="4"/>
  <c r="O919" i="4" s="1"/>
  <c r="A25" i="5"/>
  <c r="K1" i="8"/>
  <c r="G25" i="5"/>
  <c r="E25" i="5"/>
  <c r="O949" i="4" l="1"/>
  <c r="O950" i="4"/>
  <c r="O960" i="4"/>
  <c r="O961" i="4"/>
  <c r="O972" i="4"/>
  <c r="O973" i="4"/>
  <c r="O974" i="4"/>
  <c r="O980" i="4"/>
  <c r="O981" i="4"/>
  <c r="O982" i="4"/>
  <c r="O988" i="4"/>
  <c r="O989" i="4"/>
  <c r="O920" i="4"/>
  <c r="O928" i="4"/>
  <c r="O936" i="4"/>
  <c r="O956" i="4"/>
  <c r="O957" i="4"/>
  <c r="O941" i="4"/>
  <c r="O948" i="4"/>
  <c r="O924" i="4"/>
  <c r="O925" i="4"/>
  <c r="O926" i="4"/>
  <c r="O932" i="4"/>
  <c r="O933" i="4"/>
  <c r="O934" i="4"/>
  <c r="O964" i="4"/>
  <c r="O965" i="4"/>
  <c r="O992" i="4"/>
  <c r="O993" i="4"/>
  <c r="O921" i="4"/>
  <c r="O929" i="4"/>
  <c r="O937" i="4"/>
  <c r="O940" i="4"/>
  <c r="O942" i="4"/>
  <c r="O944" i="4"/>
  <c r="O945" i="4"/>
  <c r="O946" i="4"/>
  <c r="O952" i="4"/>
  <c r="O953" i="4"/>
  <c r="O968" i="4"/>
  <c r="O969" i="4"/>
  <c r="O970" i="4"/>
  <c r="O976" i="4"/>
  <c r="O977" i="4"/>
  <c r="O978" i="4"/>
  <c r="O984" i="4"/>
  <c r="O985" i="4"/>
  <c r="O986" i="4"/>
  <c r="O996" i="4"/>
  <c r="O997" i="4"/>
  <c r="O998" i="4"/>
  <c r="N918" i="4"/>
  <c r="M918" i="4"/>
  <c r="L918" i="4"/>
  <c r="K918" i="4"/>
  <c r="N917" i="4"/>
  <c r="M917" i="4"/>
  <c r="L917" i="4"/>
  <c r="K917" i="4"/>
  <c r="N916" i="4"/>
  <c r="M916" i="4"/>
  <c r="L916" i="4"/>
  <c r="K916" i="4"/>
  <c r="N915" i="4"/>
  <c r="M915" i="4"/>
  <c r="L915" i="4"/>
  <c r="K915" i="4"/>
  <c r="N914" i="4"/>
  <c r="M914" i="4"/>
  <c r="L914" i="4"/>
  <c r="K914" i="4"/>
  <c r="N913" i="4"/>
  <c r="M913" i="4"/>
  <c r="L913" i="4"/>
  <c r="K913" i="4"/>
  <c r="N912" i="4"/>
  <c r="M912" i="4"/>
  <c r="L912" i="4"/>
  <c r="K912" i="4"/>
  <c r="N911" i="4"/>
  <c r="M911" i="4"/>
  <c r="L911" i="4"/>
  <c r="K911" i="4"/>
  <c r="N910" i="4"/>
  <c r="M910" i="4"/>
  <c r="L910" i="4"/>
  <c r="K910" i="4"/>
  <c r="N909" i="4"/>
  <c r="M909" i="4"/>
  <c r="L909" i="4"/>
  <c r="K909" i="4"/>
  <c r="N908" i="4"/>
  <c r="M908" i="4"/>
  <c r="L908" i="4"/>
  <c r="K908" i="4"/>
  <c r="N907" i="4"/>
  <c r="M907" i="4"/>
  <c r="L907" i="4"/>
  <c r="K907" i="4"/>
  <c r="N906" i="4"/>
  <c r="M906" i="4"/>
  <c r="L906" i="4"/>
  <c r="K906" i="4"/>
  <c r="N905" i="4"/>
  <c r="M905" i="4"/>
  <c r="L905" i="4"/>
  <c r="K905" i="4"/>
  <c r="N904" i="4"/>
  <c r="M904" i="4"/>
  <c r="L904" i="4"/>
  <c r="K904" i="4"/>
  <c r="N903" i="4"/>
  <c r="M903" i="4"/>
  <c r="L903" i="4"/>
  <c r="K903" i="4"/>
  <c r="N902" i="4"/>
  <c r="M902" i="4"/>
  <c r="L902" i="4"/>
  <c r="K902" i="4"/>
  <c r="N901" i="4"/>
  <c r="M901" i="4"/>
  <c r="L901" i="4"/>
  <c r="K901" i="4"/>
  <c r="N900" i="4"/>
  <c r="M900" i="4"/>
  <c r="L900" i="4"/>
  <c r="K900" i="4"/>
  <c r="N899" i="4"/>
  <c r="M899" i="4"/>
  <c r="L899" i="4"/>
  <c r="K899" i="4"/>
  <c r="N898" i="4"/>
  <c r="M898" i="4"/>
  <c r="L898" i="4"/>
  <c r="K898" i="4"/>
  <c r="N897" i="4"/>
  <c r="M897" i="4"/>
  <c r="L897" i="4"/>
  <c r="K897" i="4"/>
  <c r="N896" i="4"/>
  <c r="M896" i="4"/>
  <c r="L896" i="4"/>
  <c r="K896" i="4"/>
  <c r="N895" i="4"/>
  <c r="M895" i="4"/>
  <c r="L895" i="4"/>
  <c r="K895" i="4"/>
  <c r="N894" i="4"/>
  <c r="M894" i="4"/>
  <c r="L894" i="4"/>
  <c r="K894" i="4"/>
  <c r="N893" i="4"/>
  <c r="M893" i="4"/>
  <c r="L893" i="4"/>
  <c r="K893" i="4"/>
  <c r="N892" i="4"/>
  <c r="M892" i="4"/>
  <c r="L892" i="4"/>
  <c r="K892" i="4"/>
  <c r="N891" i="4"/>
  <c r="M891" i="4"/>
  <c r="L891" i="4"/>
  <c r="K891" i="4"/>
  <c r="N890" i="4"/>
  <c r="M890" i="4"/>
  <c r="L890" i="4"/>
  <c r="K890" i="4"/>
  <c r="N889" i="4"/>
  <c r="M889" i="4"/>
  <c r="L889" i="4"/>
  <c r="K889" i="4"/>
  <c r="N888" i="4"/>
  <c r="M888" i="4"/>
  <c r="L888" i="4"/>
  <c r="K888" i="4"/>
  <c r="N887" i="4"/>
  <c r="M887" i="4"/>
  <c r="L887" i="4"/>
  <c r="K887" i="4"/>
  <c r="N886" i="4"/>
  <c r="M886" i="4"/>
  <c r="L886" i="4"/>
  <c r="K886" i="4"/>
  <c r="N885" i="4"/>
  <c r="M885" i="4"/>
  <c r="L885" i="4"/>
  <c r="K885" i="4"/>
  <c r="N884" i="4"/>
  <c r="M884" i="4"/>
  <c r="L884" i="4"/>
  <c r="K884" i="4"/>
  <c r="N883" i="4"/>
  <c r="M883" i="4"/>
  <c r="L883" i="4"/>
  <c r="K883" i="4"/>
  <c r="N882" i="4"/>
  <c r="M882" i="4"/>
  <c r="L882" i="4"/>
  <c r="K882" i="4"/>
  <c r="N881" i="4"/>
  <c r="M881" i="4"/>
  <c r="L881" i="4"/>
  <c r="K881" i="4"/>
  <c r="N880" i="4"/>
  <c r="M880" i="4"/>
  <c r="L880" i="4"/>
  <c r="K880" i="4"/>
  <c r="N879" i="4"/>
  <c r="M879" i="4"/>
  <c r="L879" i="4"/>
  <c r="K879" i="4"/>
  <c r="N878" i="4"/>
  <c r="M878" i="4"/>
  <c r="L878" i="4"/>
  <c r="K878" i="4"/>
  <c r="N877" i="4"/>
  <c r="M877" i="4"/>
  <c r="L877" i="4"/>
  <c r="K877" i="4"/>
  <c r="N876" i="4"/>
  <c r="M876" i="4"/>
  <c r="L876" i="4"/>
  <c r="K876" i="4"/>
  <c r="N875" i="4"/>
  <c r="M875" i="4"/>
  <c r="L875" i="4"/>
  <c r="K875" i="4"/>
  <c r="N874" i="4"/>
  <c r="M874" i="4"/>
  <c r="L874" i="4"/>
  <c r="K874" i="4"/>
  <c r="N873" i="4"/>
  <c r="M873" i="4"/>
  <c r="L873" i="4"/>
  <c r="K873" i="4"/>
  <c r="N872" i="4"/>
  <c r="M872" i="4"/>
  <c r="L872" i="4"/>
  <c r="K872" i="4"/>
  <c r="N871" i="4"/>
  <c r="M871" i="4"/>
  <c r="L871" i="4"/>
  <c r="K871" i="4"/>
  <c r="N870" i="4"/>
  <c r="M870" i="4"/>
  <c r="L870" i="4"/>
  <c r="K870" i="4"/>
  <c r="N869" i="4"/>
  <c r="M869" i="4"/>
  <c r="L869" i="4"/>
  <c r="K869" i="4"/>
  <c r="N868" i="4"/>
  <c r="M868" i="4"/>
  <c r="L868" i="4"/>
  <c r="K868" i="4"/>
  <c r="N867" i="4"/>
  <c r="M867" i="4"/>
  <c r="L867" i="4"/>
  <c r="K867" i="4"/>
  <c r="N866" i="4"/>
  <c r="M866" i="4"/>
  <c r="L866" i="4"/>
  <c r="K866" i="4"/>
  <c r="N865" i="4"/>
  <c r="M865" i="4"/>
  <c r="L865" i="4"/>
  <c r="K865" i="4"/>
  <c r="N864" i="4"/>
  <c r="M864" i="4"/>
  <c r="L864" i="4"/>
  <c r="K864" i="4"/>
  <c r="N863" i="4"/>
  <c r="M863" i="4"/>
  <c r="L863" i="4"/>
  <c r="K863" i="4"/>
  <c r="N862" i="4"/>
  <c r="M862" i="4"/>
  <c r="L862" i="4"/>
  <c r="K862" i="4"/>
  <c r="N861" i="4"/>
  <c r="M861" i="4"/>
  <c r="L861" i="4"/>
  <c r="K861" i="4"/>
  <c r="N860" i="4"/>
  <c r="M860" i="4"/>
  <c r="L860" i="4"/>
  <c r="K860" i="4"/>
  <c r="N859" i="4"/>
  <c r="M859" i="4"/>
  <c r="L859" i="4"/>
  <c r="K859" i="4"/>
  <c r="N858" i="4"/>
  <c r="M858" i="4"/>
  <c r="L858" i="4"/>
  <c r="K858" i="4"/>
  <c r="N857" i="4"/>
  <c r="M857" i="4"/>
  <c r="L857" i="4"/>
  <c r="K857" i="4"/>
  <c r="N856" i="4"/>
  <c r="M856" i="4"/>
  <c r="L856" i="4"/>
  <c r="K856" i="4"/>
  <c r="N855" i="4"/>
  <c r="M855" i="4"/>
  <c r="L855" i="4"/>
  <c r="K855" i="4"/>
  <c r="N854" i="4"/>
  <c r="M854" i="4"/>
  <c r="L854" i="4"/>
  <c r="K854" i="4"/>
  <c r="N853" i="4"/>
  <c r="M853" i="4"/>
  <c r="L853" i="4"/>
  <c r="K853" i="4"/>
  <c r="N852" i="4"/>
  <c r="M852" i="4"/>
  <c r="L852" i="4"/>
  <c r="K852" i="4"/>
  <c r="N851" i="4"/>
  <c r="M851" i="4"/>
  <c r="L851" i="4"/>
  <c r="K851" i="4"/>
  <c r="N850" i="4"/>
  <c r="M850" i="4"/>
  <c r="L850" i="4"/>
  <c r="K850" i="4"/>
  <c r="N849" i="4"/>
  <c r="M849" i="4"/>
  <c r="L849" i="4"/>
  <c r="K849" i="4"/>
  <c r="N848" i="4"/>
  <c r="M848" i="4"/>
  <c r="L848" i="4"/>
  <c r="K848" i="4"/>
  <c r="N847" i="4"/>
  <c r="M847" i="4"/>
  <c r="L847" i="4"/>
  <c r="K847" i="4"/>
  <c r="N846" i="4"/>
  <c r="M846" i="4"/>
  <c r="L846" i="4"/>
  <c r="K846" i="4"/>
  <c r="N845" i="4"/>
  <c r="M845" i="4"/>
  <c r="L845" i="4"/>
  <c r="K845" i="4"/>
  <c r="N844" i="4"/>
  <c r="M844" i="4"/>
  <c r="L844" i="4"/>
  <c r="K844" i="4"/>
  <c r="N843" i="4"/>
  <c r="M843" i="4"/>
  <c r="L843" i="4"/>
  <c r="K843" i="4"/>
  <c r="N842" i="4"/>
  <c r="M842" i="4"/>
  <c r="L842" i="4"/>
  <c r="K842" i="4"/>
  <c r="N841" i="4"/>
  <c r="M841" i="4"/>
  <c r="L841" i="4"/>
  <c r="K841" i="4"/>
  <c r="N840" i="4"/>
  <c r="M840" i="4"/>
  <c r="L840" i="4"/>
  <c r="K840" i="4"/>
  <c r="N839" i="4"/>
  <c r="M839" i="4"/>
  <c r="L839" i="4"/>
  <c r="K839" i="4"/>
  <c r="N838" i="4"/>
  <c r="M838" i="4"/>
  <c r="L838" i="4"/>
  <c r="K838" i="4"/>
  <c r="N837" i="4"/>
  <c r="M837" i="4"/>
  <c r="L837" i="4"/>
  <c r="K837" i="4"/>
  <c r="N836" i="4"/>
  <c r="M836" i="4"/>
  <c r="L836" i="4"/>
  <c r="K836" i="4"/>
  <c r="N835" i="4"/>
  <c r="M835" i="4"/>
  <c r="L835" i="4"/>
  <c r="K835" i="4"/>
  <c r="N834" i="4"/>
  <c r="M834" i="4"/>
  <c r="L834" i="4"/>
  <c r="K834" i="4"/>
  <c r="N833" i="4"/>
  <c r="M833" i="4"/>
  <c r="L833" i="4"/>
  <c r="K833" i="4"/>
  <c r="N832" i="4"/>
  <c r="M832" i="4"/>
  <c r="L832" i="4"/>
  <c r="K832" i="4"/>
  <c r="N831" i="4"/>
  <c r="M831" i="4"/>
  <c r="L831" i="4"/>
  <c r="K831" i="4"/>
  <c r="N830" i="4"/>
  <c r="M830" i="4"/>
  <c r="L830" i="4"/>
  <c r="K830" i="4"/>
  <c r="N829" i="4"/>
  <c r="M829" i="4"/>
  <c r="L829" i="4"/>
  <c r="K829" i="4"/>
  <c r="N828" i="4"/>
  <c r="M828" i="4"/>
  <c r="L828" i="4"/>
  <c r="K828" i="4"/>
  <c r="N827" i="4"/>
  <c r="M827" i="4"/>
  <c r="L827" i="4"/>
  <c r="K827" i="4"/>
  <c r="N826" i="4"/>
  <c r="M826" i="4"/>
  <c r="L826" i="4"/>
  <c r="K826" i="4"/>
  <c r="N825" i="4"/>
  <c r="M825" i="4"/>
  <c r="L825" i="4"/>
  <c r="K825" i="4"/>
  <c r="N824" i="4"/>
  <c r="M824" i="4"/>
  <c r="L824" i="4"/>
  <c r="K824" i="4"/>
  <c r="N823" i="4"/>
  <c r="M823" i="4"/>
  <c r="L823" i="4"/>
  <c r="K823" i="4"/>
  <c r="N822" i="4"/>
  <c r="M822" i="4"/>
  <c r="L822" i="4"/>
  <c r="K822" i="4"/>
  <c r="N821" i="4"/>
  <c r="M821" i="4"/>
  <c r="L821" i="4"/>
  <c r="K821" i="4"/>
  <c r="N820" i="4"/>
  <c r="M820" i="4"/>
  <c r="L820" i="4"/>
  <c r="K820" i="4"/>
  <c r="N819" i="4"/>
  <c r="M819" i="4"/>
  <c r="L819" i="4"/>
  <c r="K819" i="4"/>
  <c r="N818" i="4"/>
  <c r="M818" i="4"/>
  <c r="L818" i="4"/>
  <c r="K818" i="4"/>
  <c r="N817" i="4"/>
  <c r="M817" i="4"/>
  <c r="L817" i="4"/>
  <c r="K817" i="4"/>
  <c r="N816" i="4"/>
  <c r="M816" i="4"/>
  <c r="L816" i="4"/>
  <c r="K816" i="4"/>
  <c r="N815" i="4"/>
  <c r="M815" i="4"/>
  <c r="L815" i="4"/>
  <c r="K815" i="4"/>
  <c r="N814" i="4"/>
  <c r="M814" i="4"/>
  <c r="L814" i="4"/>
  <c r="K814" i="4"/>
  <c r="N813" i="4"/>
  <c r="M813" i="4"/>
  <c r="L813" i="4"/>
  <c r="K813" i="4"/>
  <c r="N812" i="4"/>
  <c r="M812" i="4"/>
  <c r="L812" i="4"/>
  <c r="K812" i="4"/>
  <c r="N811" i="4"/>
  <c r="M811" i="4"/>
  <c r="L811" i="4"/>
  <c r="K811" i="4"/>
  <c r="N810" i="4"/>
  <c r="M810" i="4"/>
  <c r="L810" i="4"/>
  <c r="K810" i="4"/>
  <c r="N809" i="4"/>
  <c r="M809" i="4"/>
  <c r="L809" i="4"/>
  <c r="K809" i="4"/>
  <c r="N808" i="4"/>
  <c r="M808" i="4"/>
  <c r="L808" i="4"/>
  <c r="K808" i="4"/>
  <c r="N807" i="4"/>
  <c r="M807" i="4"/>
  <c r="L807" i="4"/>
  <c r="K807" i="4"/>
  <c r="N806" i="4"/>
  <c r="M806" i="4"/>
  <c r="L806" i="4"/>
  <c r="K806" i="4"/>
  <c r="N805" i="4"/>
  <c r="M805" i="4"/>
  <c r="L805" i="4"/>
  <c r="K805" i="4"/>
  <c r="N804" i="4"/>
  <c r="M804" i="4"/>
  <c r="L804" i="4"/>
  <c r="K804" i="4"/>
  <c r="N803" i="4"/>
  <c r="M803" i="4"/>
  <c r="L803" i="4"/>
  <c r="K803" i="4"/>
  <c r="N802" i="4"/>
  <c r="M802" i="4"/>
  <c r="L802" i="4"/>
  <c r="K802" i="4"/>
  <c r="N801" i="4"/>
  <c r="M801" i="4"/>
  <c r="L801" i="4"/>
  <c r="K801" i="4"/>
  <c r="N800" i="4"/>
  <c r="M800" i="4"/>
  <c r="L800" i="4"/>
  <c r="K800" i="4"/>
  <c r="N799" i="4"/>
  <c r="M799" i="4"/>
  <c r="L799" i="4"/>
  <c r="K799" i="4"/>
  <c r="N798" i="4"/>
  <c r="M798" i="4"/>
  <c r="L798" i="4"/>
  <c r="K798" i="4"/>
  <c r="N797" i="4"/>
  <c r="M797" i="4"/>
  <c r="L797" i="4"/>
  <c r="K797" i="4"/>
  <c r="N796" i="4"/>
  <c r="M796" i="4"/>
  <c r="L796" i="4"/>
  <c r="K796" i="4"/>
  <c r="N795" i="4"/>
  <c r="M795" i="4"/>
  <c r="L795" i="4"/>
  <c r="K795" i="4"/>
  <c r="N794" i="4"/>
  <c r="M794" i="4"/>
  <c r="L794" i="4"/>
  <c r="K794" i="4"/>
  <c r="N793" i="4"/>
  <c r="M793" i="4"/>
  <c r="L793" i="4"/>
  <c r="K793" i="4"/>
  <c r="N792" i="4"/>
  <c r="M792" i="4"/>
  <c r="L792" i="4"/>
  <c r="K792" i="4"/>
  <c r="N791" i="4"/>
  <c r="M791" i="4"/>
  <c r="L791" i="4"/>
  <c r="K791" i="4"/>
  <c r="N790" i="4"/>
  <c r="M790" i="4"/>
  <c r="L790" i="4"/>
  <c r="K790" i="4"/>
  <c r="N789" i="4"/>
  <c r="M789" i="4"/>
  <c r="L789" i="4"/>
  <c r="K789" i="4"/>
  <c r="N788" i="4"/>
  <c r="M788" i="4"/>
  <c r="L788" i="4"/>
  <c r="K788" i="4"/>
  <c r="N787" i="4"/>
  <c r="M787" i="4"/>
  <c r="L787" i="4"/>
  <c r="K787" i="4"/>
  <c r="N786" i="4"/>
  <c r="M786" i="4"/>
  <c r="L786" i="4"/>
  <c r="K786" i="4"/>
  <c r="N785" i="4"/>
  <c r="M785" i="4"/>
  <c r="L785" i="4"/>
  <c r="K785" i="4"/>
  <c r="N784" i="4"/>
  <c r="M784" i="4"/>
  <c r="L784" i="4"/>
  <c r="K784" i="4"/>
  <c r="N783" i="4"/>
  <c r="M783" i="4"/>
  <c r="L783" i="4"/>
  <c r="K783" i="4"/>
  <c r="N782" i="4"/>
  <c r="M782" i="4"/>
  <c r="L782" i="4"/>
  <c r="K782" i="4"/>
  <c r="N781" i="4"/>
  <c r="M781" i="4"/>
  <c r="L781" i="4"/>
  <c r="K781" i="4"/>
  <c r="N780" i="4"/>
  <c r="M780" i="4"/>
  <c r="L780" i="4"/>
  <c r="K780" i="4"/>
  <c r="N779" i="4"/>
  <c r="M779" i="4"/>
  <c r="L779" i="4"/>
  <c r="K779" i="4"/>
  <c r="N778" i="4"/>
  <c r="M778" i="4"/>
  <c r="L778" i="4"/>
  <c r="K778" i="4"/>
  <c r="N777" i="4"/>
  <c r="M777" i="4"/>
  <c r="L777" i="4"/>
  <c r="K777" i="4"/>
  <c r="N776" i="4"/>
  <c r="M776" i="4"/>
  <c r="L776" i="4"/>
  <c r="K776" i="4"/>
  <c r="N775" i="4"/>
  <c r="M775" i="4"/>
  <c r="L775" i="4"/>
  <c r="K775" i="4"/>
  <c r="N774" i="4"/>
  <c r="M774" i="4"/>
  <c r="L774" i="4"/>
  <c r="K774" i="4"/>
  <c r="N773" i="4"/>
  <c r="M773" i="4"/>
  <c r="L773" i="4"/>
  <c r="K773" i="4"/>
  <c r="N772" i="4"/>
  <c r="M772" i="4"/>
  <c r="L772" i="4"/>
  <c r="K772" i="4"/>
  <c r="N771" i="4"/>
  <c r="M771" i="4"/>
  <c r="L771" i="4"/>
  <c r="K771" i="4"/>
  <c r="N770" i="4"/>
  <c r="M770" i="4"/>
  <c r="L770" i="4"/>
  <c r="K770" i="4"/>
  <c r="N769" i="4"/>
  <c r="M769" i="4"/>
  <c r="L769" i="4"/>
  <c r="K769" i="4"/>
  <c r="N768" i="4"/>
  <c r="M768" i="4"/>
  <c r="L768" i="4"/>
  <c r="K768" i="4"/>
  <c r="N767" i="4"/>
  <c r="M767" i="4"/>
  <c r="L767" i="4"/>
  <c r="K767" i="4"/>
  <c r="N766" i="4"/>
  <c r="M766" i="4"/>
  <c r="L766" i="4"/>
  <c r="K766" i="4"/>
  <c r="N765" i="4"/>
  <c r="M765" i="4"/>
  <c r="L765" i="4"/>
  <c r="K765" i="4"/>
  <c r="N764" i="4"/>
  <c r="M764" i="4"/>
  <c r="L764" i="4"/>
  <c r="K764" i="4"/>
  <c r="N763" i="4"/>
  <c r="M763" i="4"/>
  <c r="L763" i="4"/>
  <c r="K763" i="4"/>
  <c r="N762" i="4"/>
  <c r="M762" i="4"/>
  <c r="L762" i="4"/>
  <c r="K762" i="4"/>
  <c r="N761" i="4"/>
  <c r="M761" i="4"/>
  <c r="L761" i="4"/>
  <c r="K761" i="4"/>
  <c r="N760" i="4"/>
  <c r="M760" i="4"/>
  <c r="L760" i="4"/>
  <c r="K760" i="4"/>
  <c r="N759" i="4"/>
  <c r="M759" i="4"/>
  <c r="L759" i="4"/>
  <c r="K759" i="4"/>
  <c r="N758" i="4"/>
  <c r="M758" i="4"/>
  <c r="L758" i="4"/>
  <c r="K758" i="4"/>
  <c r="N757" i="4"/>
  <c r="M757" i="4"/>
  <c r="L757" i="4"/>
  <c r="K757" i="4"/>
  <c r="N756" i="4"/>
  <c r="M756" i="4"/>
  <c r="L756" i="4"/>
  <c r="K756" i="4"/>
  <c r="N755" i="4"/>
  <c r="M755" i="4"/>
  <c r="L755" i="4"/>
  <c r="K755" i="4"/>
  <c r="N754" i="4"/>
  <c r="M754" i="4"/>
  <c r="L754" i="4"/>
  <c r="K754" i="4"/>
  <c r="N753" i="4"/>
  <c r="M753" i="4"/>
  <c r="L753" i="4"/>
  <c r="K753" i="4"/>
  <c r="N752" i="4"/>
  <c r="M752" i="4"/>
  <c r="L752" i="4"/>
  <c r="K752" i="4"/>
  <c r="N751" i="4"/>
  <c r="M751" i="4"/>
  <c r="L751" i="4"/>
  <c r="K751" i="4"/>
  <c r="N750" i="4"/>
  <c r="M750" i="4"/>
  <c r="L750" i="4"/>
  <c r="K750" i="4"/>
  <c r="N749" i="4"/>
  <c r="M749" i="4"/>
  <c r="L749" i="4"/>
  <c r="K749" i="4"/>
  <c r="N748" i="4"/>
  <c r="M748" i="4"/>
  <c r="L748" i="4"/>
  <c r="K748" i="4"/>
  <c r="N747" i="4"/>
  <c r="M747" i="4"/>
  <c r="L747" i="4"/>
  <c r="K747" i="4"/>
  <c r="N746" i="4"/>
  <c r="M746" i="4"/>
  <c r="L746" i="4"/>
  <c r="K746" i="4"/>
  <c r="N745" i="4"/>
  <c r="M745" i="4"/>
  <c r="L745" i="4"/>
  <c r="K745" i="4"/>
  <c r="N744" i="4"/>
  <c r="M744" i="4"/>
  <c r="L744" i="4"/>
  <c r="K744" i="4"/>
  <c r="N743" i="4"/>
  <c r="M743" i="4"/>
  <c r="L743" i="4"/>
  <c r="K743" i="4"/>
  <c r="N742" i="4"/>
  <c r="M742" i="4"/>
  <c r="L742" i="4"/>
  <c r="K742" i="4"/>
  <c r="N741" i="4"/>
  <c r="M741" i="4"/>
  <c r="L741" i="4"/>
  <c r="K741" i="4"/>
  <c r="N740" i="4"/>
  <c r="M740" i="4"/>
  <c r="L740" i="4"/>
  <c r="K740" i="4"/>
  <c r="N739" i="4"/>
  <c r="M739" i="4"/>
  <c r="L739" i="4"/>
  <c r="K739" i="4"/>
  <c r="N738" i="4"/>
  <c r="M738" i="4"/>
  <c r="L738" i="4"/>
  <c r="K738" i="4"/>
  <c r="N737" i="4"/>
  <c r="M737" i="4"/>
  <c r="L737" i="4"/>
  <c r="K737" i="4"/>
  <c r="N736" i="4"/>
  <c r="M736" i="4"/>
  <c r="L736" i="4"/>
  <c r="K736" i="4"/>
  <c r="N735" i="4"/>
  <c r="M735" i="4"/>
  <c r="L735" i="4"/>
  <c r="K735" i="4"/>
  <c r="O735" i="4" s="1"/>
  <c r="N734" i="4"/>
  <c r="M734" i="4"/>
  <c r="L734" i="4"/>
  <c r="K734" i="4"/>
  <c r="N733" i="4"/>
  <c r="M733" i="4"/>
  <c r="L733" i="4"/>
  <c r="K733" i="4"/>
  <c r="N732" i="4"/>
  <c r="M732" i="4"/>
  <c r="L732" i="4"/>
  <c r="K732" i="4"/>
  <c r="N731" i="4"/>
  <c r="M731" i="4"/>
  <c r="L731" i="4"/>
  <c r="K731" i="4"/>
  <c r="O731" i="4" s="1"/>
  <c r="N730" i="4"/>
  <c r="M730" i="4"/>
  <c r="L730" i="4"/>
  <c r="K730" i="4"/>
  <c r="N729" i="4"/>
  <c r="M729" i="4"/>
  <c r="L729" i="4"/>
  <c r="K729" i="4"/>
  <c r="N728" i="4"/>
  <c r="M728" i="4"/>
  <c r="L728" i="4"/>
  <c r="K728" i="4"/>
  <c r="N727" i="4"/>
  <c r="M727" i="4"/>
  <c r="L727" i="4"/>
  <c r="K727" i="4"/>
  <c r="O727" i="4" s="1"/>
  <c r="N726" i="4"/>
  <c r="M726" i="4"/>
  <c r="L726" i="4"/>
  <c r="K726" i="4"/>
  <c r="N725" i="4"/>
  <c r="M725" i="4"/>
  <c r="L725" i="4"/>
  <c r="K725" i="4"/>
  <c r="N724" i="4"/>
  <c r="M724" i="4"/>
  <c r="L724" i="4"/>
  <c r="K724" i="4"/>
  <c r="N723" i="4"/>
  <c r="M723" i="4"/>
  <c r="L723" i="4"/>
  <c r="K723" i="4"/>
  <c r="O723" i="4" s="1"/>
  <c r="N722" i="4"/>
  <c r="M722" i="4"/>
  <c r="L722" i="4"/>
  <c r="K722" i="4"/>
  <c r="N721" i="4"/>
  <c r="M721" i="4"/>
  <c r="L721" i="4"/>
  <c r="K721" i="4"/>
  <c r="N720" i="4"/>
  <c r="M720" i="4"/>
  <c r="L720" i="4"/>
  <c r="K720" i="4"/>
  <c r="N719" i="4"/>
  <c r="M719" i="4"/>
  <c r="L719" i="4"/>
  <c r="K719" i="4"/>
  <c r="O719" i="4" s="1"/>
  <c r="N718" i="4"/>
  <c r="M718" i="4"/>
  <c r="L718" i="4"/>
  <c r="K718" i="4"/>
  <c r="N717" i="4"/>
  <c r="M717" i="4"/>
  <c r="L717" i="4"/>
  <c r="K717" i="4"/>
  <c r="N716" i="4"/>
  <c r="M716" i="4"/>
  <c r="L716" i="4"/>
  <c r="K716" i="4"/>
  <c r="N715" i="4"/>
  <c r="M715" i="4"/>
  <c r="L715" i="4"/>
  <c r="K715" i="4"/>
  <c r="O715" i="4" s="1"/>
  <c r="N714" i="4"/>
  <c r="M714" i="4"/>
  <c r="L714" i="4"/>
  <c r="K714" i="4"/>
  <c r="N713" i="4"/>
  <c r="M713" i="4"/>
  <c r="L713" i="4"/>
  <c r="K713" i="4"/>
  <c r="N712" i="4"/>
  <c r="M712" i="4"/>
  <c r="L712" i="4"/>
  <c r="K712" i="4"/>
  <c r="N711" i="4"/>
  <c r="M711" i="4"/>
  <c r="L711" i="4"/>
  <c r="K711" i="4"/>
  <c r="O711" i="4" s="1"/>
  <c r="N710" i="4"/>
  <c r="M710" i="4"/>
  <c r="L710" i="4"/>
  <c r="K710" i="4"/>
  <c r="N709" i="4"/>
  <c r="M709" i="4"/>
  <c r="L709" i="4"/>
  <c r="K709" i="4"/>
  <c r="N708" i="4"/>
  <c r="M708" i="4"/>
  <c r="L708" i="4"/>
  <c r="K708" i="4"/>
  <c r="N707" i="4"/>
  <c r="M707" i="4"/>
  <c r="L707" i="4"/>
  <c r="K707" i="4"/>
  <c r="O707" i="4" s="1"/>
  <c r="N706" i="4"/>
  <c r="M706" i="4"/>
  <c r="L706" i="4"/>
  <c r="K706" i="4"/>
  <c r="N705" i="4"/>
  <c r="M705" i="4"/>
  <c r="L705" i="4"/>
  <c r="K705" i="4"/>
  <c r="N704" i="4"/>
  <c r="M704" i="4"/>
  <c r="L704" i="4"/>
  <c r="K704" i="4"/>
  <c r="N703" i="4"/>
  <c r="M703" i="4"/>
  <c r="L703" i="4"/>
  <c r="K703" i="4"/>
  <c r="O703" i="4" s="1"/>
  <c r="N702" i="4"/>
  <c r="M702" i="4"/>
  <c r="L702" i="4"/>
  <c r="K702" i="4"/>
  <c r="N701" i="4"/>
  <c r="M701" i="4"/>
  <c r="L701" i="4"/>
  <c r="K701" i="4"/>
  <c r="N700" i="4"/>
  <c r="M700" i="4"/>
  <c r="L700" i="4"/>
  <c r="K700" i="4"/>
  <c r="N699" i="4"/>
  <c r="M699" i="4"/>
  <c r="L699" i="4"/>
  <c r="K699" i="4"/>
  <c r="O699" i="4" s="1"/>
  <c r="N698" i="4"/>
  <c r="M698" i="4"/>
  <c r="L698" i="4"/>
  <c r="K698" i="4"/>
  <c r="N697" i="4"/>
  <c r="M697" i="4"/>
  <c r="L697" i="4"/>
  <c r="K697" i="4"/>
  <c r="N696" i="4"/>
  <c r="M696" i="4"/>
  <c r="L696" i="4"/>
  <c r="K696" i="4"/>
  <c r="N695" i="4"/>
  <c r="M695" i="4"/>
  <c r="L695" i="4"/>
  <c r="K695" i="4"/>
  <c r="O695" i="4" s="1"/>
  <c r="N694" i="4"/>
  <c r="M694" i="4"/>
  <c r="L694" i="4"/>
  <c r="K694" i="4"/>
  <c r="N693" i="4"/>
  <c r="M693" i="4"/>
  <c r="L693" i="4"/>
  <c r="K693" i="4"/>
  <c r="N692" i="4"/>
  <c r="M692" i="4"/>
  <c r="L692" i="4"/>
  <c r="K692" i="4"/>
  <c r="N691" i="4"/>
  <c r="M691" i="4"/>
  <c r="L691" i="4"/>
  <c r="K691" i="4"/>
  <c r="O691" i="4" s="1"/>
  <c r="N690" i="4"/>
  <c r="M690" i="4"/>
  <c r="L690" i="4"/>
  <c r="K690" i="4"/>
  <c r="N689" i="4"/>
  <c r="M689" i="4"/>
  <c r="L689" i="4"/>
  <c r="K689" i="4"/>
  <c r="N688" i="4"/>
  <c r="M688" i="4"/>
  <c r="L688" i="4"/>
  <c r="K688" i="4"/>
  <c r="N687" i="4"/>
  <c r="M687" i="4"/>
  <c r="L687" i="4"/>
  <c r="K687" i="4"/>
  <c r="O687" i="4" s="1"/>
  <c r="N686" i="4"/>
  <c r="M686" i="4"/>
  <c r="L686" i="4"/>
  <c r="K686" i="4"/>
  <c r="N685" i="4"/>
  <c r="M685" i="4"/>
  <c r="L685" i="4"/>
  <c r="K685" i="4"/>
  <c r="N684" i="4"/>
  <c r="M684" i="4"/>
  <c r="L684" i="4"/>
  <c r="K684" i="4"/>
  <c r="N683" i="4"/>
  <c r="M683" i="4"/>
  <c r="L683" i="4"/>
  <c r="K683" i="4"/>
  <c r="O683" i="4" s="1"/>
  <c r="N682" i="4"/>
  <c r="M682" i="4"/>
  <c r="L682" i="4"/>
  <c r="K682" i="4"/>
  <c r="N681" i="4"/>
  <c r="M681" i="4"/>
  <c r="L681" i="4"/>
  <c r="K681" i="4"/>
  <c r="N680" i="4"/>
  <c r="M680" i="4"/>
  <c r="L680" i="4"/>
  <c r="K680" i="4"/>
  <c r="N679" i="4"/>
  <c r="M679" i="4"/>
  <c r="L679" i="4"/>
  <c r="K679" i="4"/>
  <c r="O679" i="4" s="1"/>
  <c r="N678" i="4"/>
  <c r="M678" i="4"/>
  <c r="L678" i="4"/>
  <c r="K678" i="4"/>
  <c r="N677" i="4"/>
  <c r="M677" i="4"/>
  <c r="L677" i="4"/>
  <c r="K677" i="4"/>
  <c r="N676" i="4"/>
  <c r="M676" i="4"/>
  <c r="L676" i="4"/>
  <c r="K676" i="4"/>
  <c r="N675" i="4"/>
  <c r="M675" i="4"/>
  <c r="L675" i="4"/>
  <c r="K675" i="4"/>
  <c r="O675" i="4" s="1"/>
  <c r="N674" i="4"/>
  <c r="M674" i="4"/>
  <c r="L674" i="4"/>
  <c r="K674" i="4"/>
  <c r="N673" i="4"/>
  <c r="M673" i="4"/>
  <c r="L673" i="4"/>
  <c r="K673" i="4"/>
  <c r="N672" i="4"/>
  <c r="M672" i="4"/>
  <c r="L672" i="4"/>
  <c r="K672" i="4"/>
  <c r="N671" i="4"/>
  <c r="M671" i="4"/>
  <c r="L671" i="4"/>
  <c r="K671" i="4"/>
  <c r="O671" i="4" s="1"/>
  <c r="N670" i="4"/>
  <c r="M670" i="4"/>
  <c r="L670" i="4"/>
  <c r="K670" i="4"/>
  <c r="N669" i="4"/>
  <c r="M669" i="4"/>
  <c r="L669" i="4"/>
  <c r="K669" i="4"/>
  <c r="N668" i="4"/>
  <c r="M668" i="4"/>
  <c r="L668" i="4"/>
  <c r="K668" i="4"/>
  <c r="N667" i="4"/>
  <c r="M667" i="4"/>
  <c r="L667" i="4"/>
  <c r="K667" i="4"/>
  <c r="O667" i="4" s="1"/>
  <c r="N666" i="4"/>
  <c r="M666" i="4"/>
  <c r="L666" i="4"/>
  <c r="K666" i="4"/>
  <c r="N665" i="4"/>
  <c r="M665" i="4"/>
  <c r="L665" i="4"/>
  <c r="K665" i="4"/>
  <c r="N664" i="4"/>
  <c r="M664" i="4"/>
  <c r="L664" i="4"/>
  <c r="K664" i="4"/>
  <c r="N663" i="4"/>
  <c r="M663" i="4"/>
  <c r="L663" i="4"/>
  <c r="K663" i="4"/>
  <c r="O663" i="4" s="1"/>
  <c r="N662" i="4"/>
  <c r="M662" i="4"/>
  <c r="L662" i="4"/>
  <c r="K662" i="4"/>
  <c r="N661" i="4"/>
  <c r="M661" i="4"/>
  <c r="L661" i="4"/>
  <c r="K661" i="4"/>
  <c r="N660" i="4"/>
  <c r="M660" i="4"/>
  <c r="L660" i="4"/>
  <c r="K660" i="4"/>
  <c r="N659" i="4"/>
  <c r="M659" i="4"/>
  <c r="L659" i="4"/>
  <c r="K659" i="4"/>
  <c r="O659" i="4" s="1"/>
  <c r="N658" i="4"/>
  <c r="M658" i="4"/>
  <c r="L658" i="4"/>
  <c r="K658" i="4"/>
  <c r="N657" i="4"/>
  <c r="M657" i="4"/>
  <c r="L657" i="4"/>
  <c r="K657" i="4"/>
  <c r="N656" i="4"/>
  <c r="M656" i="4"/>
  <c r="L656" i="4"/>
  <c r="K656" i="4"/>
  <c r="N655" i="4"/>
  <c r="M655" i="4"/>
  <c r="L655" i="4"/>
  <c r="K655" i="4"/>
  <c r="O655" i="4" s="1"/>
  <c r="N654" i="4"/>
  <c r="M654" i="4"/>
  <c r="L654" i="4"/>
  <c r="K654" i="4"/>
  <c r="N653" i="4"/>
  <c r="M653" i="4"/>
  <c r="L653" i="4"/>
  <c r="K653" i="4"/>
  <c r="N652" i="4"/>
  <c r="M652" i="4"/>
  <c r="L652" i="4"/>
  <c r="K652" i="4"/>
  <c r="N651" i="4"/>
  <c r="M651" i="4"/>
  <c r="L651" i="4"/>
  <c r="K651" i="4"/>
  <c r="O651" i="4" s="1"/>
  <c r="N650" i="4"/>
  <c r="M650" i="4"/>
  <c r="L650" i="4"/>
  <c r="K650" i="4"/>
  <c r="N649" i="4"/>
  <c r="M649" i="4"/>
  <c r="L649" i="4"/>
  <c r="K649" i="4"/>
  <c r="N648" i="4"/>
  <c r="M648" i="4"/>
  <c r="L648" i="4"/>
  <c r="K648" i="4"/>
  <c r="N647" i="4"/>
  <c r="M647" i="4"/>
  <c r="L647" i="4"/>
  <c r="K647" i="4"/>
  <c r="O647" i="4" s="1"/>
  <c r="N646" i="4"/>
  <c r="M646" i="4"/>
  <c r="L646" i="4"/>
  <c r="K646" i="4"/>
  <c r="N645" i="4"/>
  <c r="M645" i="4"/>
  <c r="L645" i="4"/>
  <c r="K645" i="4"/>
  <c r="N644" i="4"/>
  <c r="M644" i="4"/>
  <c r="L644" i="4"/>
  <c r="K644" i="4"/>
  <c r="N643" i="4"/>
  <c r="M643" i="4"/>
  <c r="L643" i="4"/>
  <c r="K643" i="4"/>
  <c r="O643" i="4" s="1"/>
  <c r="N642" i="4"/>
  <c r="M642" i="4"/>
  <c r="L642" i="4"/>
  <c r="K642" i="4"/>
  <c r="N641" i="4"/>
  <c r="M641" i="4"/>
  <c r="L641" i="4"/>
  <c r="K641" i="4"/>
  <c r="N640" i="4"/>
  <c r="M640" i="4"/>
  <c r="L640" i="4"/>
  <c r="K640" i="4"/>
  <c r="N639" i="4"/>
  <c r="M639" i="4"/>
  <c r="L639" i="4"/>
  <c r="K639" i="4"/>
  <c r="O639" i="4" s="1"/>
  <c r="N638" i="4"/>
  <c r="M638" i="4"/>
  <c r="L638" i="4"/>
  <c r="K638" i="4"/>
  <c r="N637" i="4"/>
  <c r="M637" i="4"/>
  <c r="L637" i="4"/>
  <c r="K637" i="4"/>
  <c r="N636" i="4"/>
  <c r="M636" i="4"/>
  <c r="L636" i="4"/>
  <c r="K636" i="4"/>
  <c r="N635" i="4"/>
  <c r="M635" i="4"/>
  <c r="L635" i="4"/>
  <c r="K635" i="4"/>
  <c r="O635" i="4" s="1"/>
  <c r="N634" i="4"/>
  <c r="M634" i="4"/>
  <c r="L634" i="4"/>
  <c r="K634" i="4"/>
  <c r="N633" i="4"/>
  <c r="M633" i="4"/>
  <c r="L633" i="4"/>
  <c r="K633" i="4"/>
  <c r="N632" i="4"/>
  <c r="M632" i="4"/>
  <c r="L632" i="4"/>
  <c r="K632" i="4"/>
  <c r="N631" i="4"/>
  <c r="M631" i="4"/>
  <c r="L631" i="4"/>
  <c r="K631" i="4"/>
  <c r="O631" i="4" s="1"/>
  <c r="N630" i="4"/>
  <c r="M630" i="4"/>
  <c r="L630" i="4"/>
  <c r="K630" i="4"/>
  <c r="N629" i="4"/>
  <c r="M629" i="4"/>
  <c r="L629" i="4"/>
  <c r="K629" i="4"/>
  <c r="N628" i="4"/>
  <c r="M628" i="4"/>
  <c r="L628" i="4"/>
  <c r="K628" i="4"/>
  <c r="N627" i="4"/>
  <c r="M627" i="4"/>
  <c r="L627" i="4"/>
  <c r="K627" i="4"/>
  <c r="O627" i="4" s="1"/>
  <c r="N626" i="4"/>
  <c r="M626" i="4"/>
  <c r="L626" i="4"/>
  <c r="K626" i="4"/>
  <c r="N625" i="4"/>
  <c r="M625" i="4"/>
  <c r="L625" i="4"/>
  <c r="K625" i="4"/>
  <c r="N624" i="4"/>
  <c r="M624" i="4"/>
  <c r="L624" i="4"/>
  <c r="K624" i="4"/>
  <c r="N623" i="4"/>
  <c r="M623" i="4"/>
  <c r="L623" i="4"/>
  <c r="K623" i="4"/>
  <c r="O623" i="4" s="1"/>
  <c r="N622" i="4"/>
  <c r="M622" i="4"/>
  <c r="L622" i="4"/>
  <c r="K622" i="4"/>
  <c r="N621" i="4"/>
  <c r="M621" i="4"/>
  <c r="L621" i="4"/>
  <c r="K621" i="4"/>
  <c r="N620" i="4"/>
  <c r="M620" i="4"/>
  <c r="L620" i="4"/>
  <c r="K620" i="4"/>
  <c r="N619" i="4"/>
  <c r="M619" i="4"/>
  <c r="L619" i="4"/>
  <c r="K619" i="4"/>
  <c r="O619" i="4" s="1"/>
  <c r="N618" i="4"/>
  <c r="M618" i="4"/>
  <c r="L618" i="4"/>
  <c r="K618" i="4"/>
  <c r="N617" i="4"/>
  <c r="M617" i="4"/>
  <c r="L617" i="4"/>
  <c r="K617" i="4"/>
  <c r="N616" i="4"/>
  <c r="M616" i="4"/>
  <c r="L616" i="4"/>
  <c r="K616" i="4"/>
  <c r="N615" i="4"/>
  <c r="M615" i="4"/>
  <c r="L615" i="4"/>
  <c r="K615" i="4"/>
  <c r="O615" i="4" s="1"/>
  <c r="N614" i="4"/>
  <c r="M614" i="4"/>
  <c r="L614" i="4"/>
  <c r="K614" i="4"/>
  <c r="N613" i="4"/>
  <c r="M613" i="4"/>
  <c r="L613" i="4"/>
  <c r="K613" i="4"/>
  <c r="N612" i="4"/>
  <c r="M612" i="4"/>
  <c r="L612" i="4"/>
  <c r="K612" i="4"/>
  <c r="N611" i="4"/>
  <c r="M611" i="4"/>
  <c r="L611" i="4"/>
  <c r="K611" i="4"/>
  <c r="O611" i="4" s="1"/>
  <c r="N610" i="4"/>
  <c r="M610" i="4"/>
  <c r="L610" i="4"/>
  <c r="K610" i="4"/>
  <c r="N609" i="4"/>
  <c r="M609" i="4"/>
  <c r="L609" i="4"/>
  <c r="K609" i="4"/>
  <c r="N608" i="4"/>
  <c r="M608" i="4"/>
  <c r="L608" i="4"/>
  <c r="K608" i="4"/>
  <c r="N607" i="4"/>
  <c r="M607" i="4"/>
  <c r="L607" i="4"/>
  <c r="K607" i="4"/>
  <c r="O607" i="4" s="1"/>
  <c r="N606" i="4"/>
  <c r="M606" i="4"/>
  <c r="L606" i="4"/>
  <c r="K606" i="4"/>
  <c r="N605" i="4"/>
  <c r="M605" i="4"/>
  <c r="L605" i="4"/>
  <c r="K605" i="4"/>
  <c r="N604" i="4"/>
  <c r="M604" i="4"/>
  <c r="L604" i="4"/>
  <c r="K604" i="4"/>
  <c r="N603" i="4"/>
  <c r="M603" i="4"/>
  <c r="L603" i="4"/>
  <c r="K603" i="4"/>
  <c r="O603" i="4" s="1"/>
  <c r="N602" i="4"/>
  <c r="M602" i="4"/>
  <c r="L602" i="4"/>
  <c r="K602" i="4"/>
  <c r="N601" i="4"/>
  <c r="M601" i="4"/>
  <c r="L601" i="4"/>
  <c r="K601" i="4"/>
  <c r="N600" i="4"/>
  <c r="M600" i="4"/>
  <c r="L600" i="4"/>
  <c r="K600" i="4"/>
  <c r="N599" i="4"/>
  <c r="M599" i="4"/>
  <c r="L599" i="4"/>
  <c r="K599" i="4"/>
  <c r="O599" i="4" s="1"/>
  <c r="N598" i="4"/>
  <c r="M598" i="4"/>
  <c r="L598" i="4"/>
  <c r="K598" i="4"/>
  <c r="N597" i="4"/>
  <c r="M597" i="4"/>
  <c r="L597" i="4"/>
  <c r="K597" i="4"/>
  <c r="N596" i="4"/>
  <c r="M596" i="4"/>
  <c r="L596" i="4"/>
  <c r="K596" i="4"/>
  <c r="N595" i="4"/>
  <c r="M595" i="4"/>
  <c r="L595" i="4"/>
  <c r="K595" i="4"/>
  <c r="O595" i="4" s="1"/>
  <c r="N594" i="4"/>
  <c r="M594" i="4"/>
  <c r="L594" i="4"/>
  <c r="K594" i="4"/>
  <c r="N593" i="4"/>
  <c r="M593" i="4"/>
  <c r="L593" i="4"/>
  <c r="K593" i="4"/>
  <c r="N592" i="4"/>
  <c r="M592" i="4"/>
  <c r="L592" i="4"/>
  <c r="K592" i="4"/>
  <c r="N591" i="4"/>
  <c r="M591" i="4"/>
  <c r="L591" i="4"/>
  <c r="K591" i="4"/>
  <c r="O591" i="4" s="1"/>
  <c r="N590" i="4"/>
  <c r="M590" i="4"/>
  <c r="L590" i="4"/>
  <c r="K590" i="4"/>
  <c r="N589" i="4"/>
  <c r="M589" i="4"/>
  <c r="L589" i="4"/>
  <c r="K589" i="4"/>
  <c r="N588" i="4"/>
  <c r="M588" i="4"/>
  <c r="L588" i="4"/>
  <c r="K588" i="4"/>
  <c r="N587" i="4"/>
  <c r="M587" i="4"/>
  <c r="L587" i="4"/>
  <c r="K587" i="4"/>
  <c r="O587" i="4" s="1"/>
  <c r="N586" i="4"/>
  <c r="M586" i="4"/>
  <c r="L586" i="4"/>
  <c r="K586" i="4"/>
  <c r="N585" i="4"/>
  <c r="M585" i="4"/>
  <c r="L585" i="4"/>
  <c r="K585" i="4"/>
  <c r="N584" i="4"/>
  <c r="M584" i="4"/>
  <c r="L584" i="4"/>
  <c r="K584" i="4"/>
  <c r="N583" i="4"/>
  <c r="M583" i="4"/>
  <c r="L583" i="4"/>
  <c r="K583" i="4"/>
  <c r="O583" i="4" s="1"/>
  <c r="N582" i="4"/>
  <c r="M582" i="4"/>
  <c r="L582" i="4"/>
  <c r="K582" i="4"/>
  <c r="N581" i="4"/>
  <c r="M581" i="4"/>
  <c r="L581" i="4"/>
  <c r="K581" i="4"/>
  <c r="N580" i="4"/>
  <c r="M580" i="4"/>
  <c r="L580" i="4"/>
  <c r="K580" i="4"/>
  <c r="N579" i="4"/>
  <c r="M579" i="4"/>
  <c r="L579" i="4"/>
  <c r="K579" i="4"/>
  <c r="O579" i="4" s="1"/>
  <c r="N578" i="4"/>
  <c r="M578" i="4"/>
  <c r="L578" i="4"/>
  <c r="K578" i="4"/>
  <c r="N577" i="4"/>
  <c r="M577" i="4"/>
  <c r="L577" i="4"/>
  <c r="K577" i="4"/>
  <c r="N576" i="4"/>
  <c r="M576" i="4"/>
  <c r="L576" i="4"/>
  <c r="K576" i="4"/>
  <c r="N575" i="4"/>
  <c r="M575" i="4"/>
  <c r="L575" i="4"/>
  <c r="K575" i="4"/>
  <c r="O575" i="4" s="1"/>
  <c r="N574" i="4"/>
  <c r="M574" i="4"/>
  <c r="L574" i="4"/>
  <c r="K574" i="4"/>
  <c r="N573" i="4"/>
  <c r="M573" i="4"/>
  <c r="L573" i="4"/>
  <c r="K573" i="4"/>
  <c r="N572" i="4"/>
  <c r="M572" i="4"/>
  <c r="L572" i="4"/>
  <c r="K572" i="4"/>
  <c r="N571" i="4"/>
  <c r="M571" i="4"/>
  <c r="L571" i="4"/>
  <c r="K571" i="4"/>
  <c r="O571" i="4" s="1"/>
  <c r="N570" i="4"/>
  <c r="M570" i="4"/>
  <c r="L570" i="4"/>
  <c r="K570" i="4"/>
  <c r="N569" i="4"/>
  <c r="M569" i="4"/>
  <c r="L569" i="4"/>
  <c r="K569" i="4"/>
  <c r="N568" i="4"/>
  <c r="M568" i="4"/>
  <c r="L568" i="4"/>
  <c r="K568" i="4"/>
  <c r="N567" i="4"/>
  <c r="M567" i="4"/>
  <c r="L567" i="4"/>
  <c r="K567" i="4"/>
  <c r="O567" i="4" s="1"/>
  <c r="N566" i="4"/>
  <c r="M566" i="4"/>
  <c r="L566" i="4"/>
  <c r="K566" i="4"/>
  <c r="N565" i="4"/>
  <c r="M565" i="4"/>
  <c r="L565" i="4"/>
  <c r="K565" i="4"/>
  <c r="N564" i="4"/>
  <c r="M564" i="4"/>
  <c r="L564" i="4"/>
  <c r="K564" i="4"/>
  <c r="N563" i="4"/>
  <c r="M563" i="4"/>
  <c r="L563" i="4"/>
  <c r="K563" i="4"/>
  <c r="O563" i="4" s="1"/>
  <c r="N562" i="4"/>
  <c r="M562" i="4"/>
  <c r="L562" i="4"/>
  <c r="K562" i="4"/>
  <c r="N561" i="4"/>
  <c r="M561" i="4"/>
  <c r="L561" i="4"/>
  <c r="K561" i="4"/>
  <c r="N560" i="4"/>
  <c r="M560" i="4"/>
  <c r="L560" i="4"/>
  <c r="K560" i="4"/>
  <c r="N559" i="4"/>
  <c r="M559" i="4"/>
  <c r="L559" i="4"/>
  <c r="K559" i="4"/>
  <c r="O559" i="4" s="1"/>
  <c r="N558" i="4"/>
  <c r="M558" i="4"/>
  <c r="L558" i="4"/>
  <c r="K558" i="4"/>
  <c r="N557" i="4"/>
  <c r="M557" i="4"/>
  <c r="L557" i="4"/>
  <c r="K557" i="4"/>
  <c r="N556" i="4"/>
  <c r="M556" i="4"/>
  <c r="L556" i="4"/>
  <c r="K556" i="4"/>
  <c r="N555" i="4"/>
  <c r="M555" i="4"/>
  <c r="L555" i="4"/>
  <c r="K555" i="4"/>
  <c r="O555" i="4" s="1"/>
  <c r="N554" i="4"/>
  <c r="M554" i="4"/>
  <c r="L554" i="4"/>
  <c r="K554" i="4"/>
  <c r="N553" i="4"/>
  <c r="M553" i="4"/>
  <c r="L553" i="4"/>
  <c r="K553" i="4"/>
  <c r="N552" i="4"/>
  <c r="M552" i="4"/>
  <c r="L552" i="4"/>
  <c r="K552" i="4"/>
  <c r="N551" i="4"/>
  <c r="M551" i="4"/>
  <c r="L551" i="4"/>
  <c r="K551" i="4"/>
  <c r="N550" i="4"/>
  <c r="M550" i="4"/>
  <c r="L550" i="4"/>
  <c r="K550" i="4"/>
  <c r="N549" i="4"/>
  <c r="M549" i="4"/>
  <c r="L549" i="4"/>
  <c r="K549" i="4"/>
  <c r="N548" i="4"/>
  <c r="M548" i="4"/>
  <c r="L548" i="4"/>
  <c r="K548" i="4"/>
  <c r="N547" i="4"/>
  <c r="M547" i="4"/>
  <c r="L547" i="4"/>
  <c r="K547" i="4"/>
  <c r="N546" i="4"/>
  <c r="M546" i="4"/>
  <c r="L546" i="4"/>
  <c r="K546" i="4"/>
  <c r="N545" i="4"/>
  <c r="M545" i="4"/>
  <c r="L545" i="4"/>
  <c r="K545" i="4"/>
  <c r="N544" i="4"/>
  <c r="M544" i="4"/>
  <c r="L544" i="4"/>
  <c r="K544" i="4"/>
  <c r="N543" i="4"/>
  <c r="M543" i="4"/>
  <c r="L543" i="4"/>
  <c r="K543" i="4"/>
  <c r="O543" i="4" s="1"/>
  <c r="N542" i="4"/>
  <c r="M542" i="4"/>
  <c r="L542" i="4"/>
  <c r="K542" i="4"/>
  <c r="N541" i="4"/>
  <c r="M541" i="4"/>
  <c r="L541" i="4"/>
  <c r="K541" i="4"/>
  <c r="N540" i="4"/>
  <c r="M540" i="4"/>
  <c r="L540" i="4"/>
  <c r="K540" i="4"/>
  <c r="O540" i="4" s="1"/>
  <c r="N539" i="4"/>
  <c r="M539" i="4"/>
  <c r="L539" i="4"/>
  <c r="K539" i="4"/>
  <c r="O539" i="4" s="1"/>
  <c r="N538" i="4"/>
  <c r="M538" i="4"/>
  <c r="L538" i="4"/>
  <c r="K538" i="4"/>
  <c r="N537" i="4"/>
  <c r="M537" i="4"/>
  <c r="L537" i="4"/>
  <c r="K537" i="4"/>
  <c r="N536" i="4"/>
  <c r="M536" i="4"/>
  <c r="L536" i="4"/>
  <c r="K536" i="4"/>
  <c r="O536" i="4" s="1"/>
  <c r="N535" i="4"/>
  <c r="M535" i="4"/>
  <c r="L535" i="4"/>
  <c r="K535" i="4"/>
  <c r="O535" i="4" s="1"/>
  <c r="N534" i="4"/>
  <c r="M534" i="4"/>
  <c r="L534" i="4"/>
  <c r="K534" i="4"/>
  <c r="N533" i="4"/>
  <c r="M533" i="4"/>
  <c r="L533" i="4"/>
  <c r="K533" i="4"/>
  <c r="N532" i="4"/>
  <c r="M532" i="4"/>
  <c r="L532" i="4"/>
  <c r="K532" i="4"/>
  <c r="O532" i="4" s="1"/>
  <c r="N531" i="4"/>
  <c r="M531" i="4"/>
  <c r="L531" i="4"/>
  <c r="K531" i="4"/>
  <c r="O531" i="4" s="1"/>
  <c r="N530" i="4"/>
  <c r="M530" i="4"/>
  <c r="L530" i="4"/>
  <c r="K530" i="4"/>
  <c r="N529" i="4"/>
  <c r="M529" i="4"/>
  <c r="L529" i="4"/>
  <c r="K529" i="4"/>
  <c r="N528" i="4"/>
  <c r="M528" i="4"/>
  <c r="L528" i="4"/>
  <c r="K528" i="4"/>
  <c r="O528" i="4" s="1"/>
  <c r="N527" i="4"/>
  <c r="M527" i="4"/>
  <c r="L527" i="4"/>
  <c r="K527" i="4"/>
  <c r="O527" i="4" s="1"/>
  <c r="N526" i="4"/>
  <c r="M526" i="4"/>
  <c r="L526" i="4"/>
  <c r="K526" i="4"/>
  <c r="N525" i="4"/>
  <c r="M525" i="4"/>
  <c r="L525" i="4"/>
  <c r="K525" i="4"/>
  <c r="N524" i="4"/>
  <c r="M524" i="4"/>
  <c r="L524" i="4"/>
  <c r="K524" i="4"/>
  <c r="O524" i="4" s="1"/>
  <c r="N523" i="4"/>
  <c r="M523" i="4"/>
  <c r="L523" i="4"/>
  <c r="K523" i="4"/>
  <c r="O523" i="4" s="1"/>
  <c r="N522" i="4"/>
  <c r="M522" i="4"/>
  <c r="L522" i="4"/>
  <c r="K522" i="4"/>
  <c r="N521" i="4"/>
  <c r="M521" i="4"/>
  <c r="L521" i="4"/>
  <c r="K521" i="4"/>
  <c r="N520" i="4"/>
  <c r="M520" i="4"/>
  <c r="L520" i="4"/>
  <c r="K520" i="4"/>
  <c r="O520" i="4" s="1"/>
  <c r="N519" i="4"/>
  <c r="M519" i="4"/>
  <c r="L519" i="4"/>
  <c r="K519" i="4"/>
  <c r="O519" i="4" s="1"/>
  <c r="N518" i="4"/>
  <c r="M518" i="4"/>
  <c r="L518" i="4"/>
  <c r="K518" i="4"/>
  <c r="N517" i="4"/>
  <c r="M517" i="4"/>
  <c r="L517" i="4"/>
  <c r="K517" i="4"/>
  <c r="N516" i="4"/>
  <c r="M516" i="4"/>
  <c r="L516" i="4"/>
  <c r="K516" i="4"/>
  <c r="O516" i="4" s="1"/>
  <c r="N515" i="4"/>
  <c r="M515" i="4"/>
  <c r="L515" i="4"/>
  <c r="K515" i="4"/>
  <c r="O515" i="4" s="1"/>
  <c r="N514" i="4"/>
  <c r="M514" i="4"/>
  <c r="L514" i="4"/>
  <c r="K514" i="4"/>
  <c r="N513" i="4"/>
  <c r="M513" i="4"/>
  <c r="L513" i="4"/>
  <c r="K513" i="4"/>
  <c r="N512" i="4"/>
  <c r="M512" i="4"/>
  <c r="L512" i="4"/>
  <c r="K512" i="4"/>
  <c r="O512" i="4" s="1"/>
  <c r="N511" i="4"/>
  <c r="M511" i="4"/>
  <c r="L511" i="4"/>
  <c r="K511" i="4"/>
  <c r="O511" i="4" s="1"/>
  <c r="N510" i="4"/>
  <c r="M510" i="4"/>
  <c r="L510" i="4"/>
  <c r="K510" i="4"/>
  <c r="N509" i="4"/>
  <c r="M509" i="4"/>
  <c r="L509" i="4"/>
  <c r="K509" i="4"/>
  <c r="N508" i="4"/>
  <c r="M508" i="4"/>
  <c r="L508" i="4"/>
  <c r="K508" i="4"/>
  <c r="O508" i="4" s="1"/>
  <c r="N507" i="4"/>
  <c r="M507" i="4"/>
  <c r="L507" i="4"/>
  <c r="K507" i="4"/>
  <c r="O507" i="4" s="1"/>
  <c r="N506" i="4"/>
  <c r="M506" i="4"/>
  <c r="L506" i="4"/>
  <c r="K506" i="4"/>
  <c r="N505" i="4"/>
  <c r="M505" i="4"/>
  <c r="L505" i="4"/>
  <c r="K505" i="4"/>
  <c r="N504" i="4"/>
  <c r="M504" i="4"/>
  <c r="L504" i="4"/>
  <c r="K504" i="4"/>
  <c r="O504" i="4" s="1"/>
  <c r="N503" i="4"/>
  <c r="M503" i="4"/>
  <c r="L503" i="4"/>
  <c r="K503" i="4"/>
  <c r="O503" i="4" s="1"/>
  <c r="N502" i="4"/>
  <c r="M502" i="4"/>
  <c r="L502" i="4"/>
  <c r="K502" i="4"/>
  <c r="N501" i="4"/>
  <c r="M501" i="4"/>
  <c r="L501" i="4"/>
  <c r="K501" i="4"/>
  <c r="N500" i="4"/>
  <c r="M500" i="4"/>
  <c r="L500" i="4"/>
  <c r="K500" i="4"/>
  <c r="O500" i="4" s="1"/>
  <c r="N499" i="4"/>
  <c r="M499" i="4"/>
  <c r="L499" i="4"/>
  <c r="K499" i="4"/>
  <c r="O499" i="4" s="1"/>
  <c r="N498" i="4"/>
  <c r="M498" i="4"/>
  <c r="L498" i="4"/>
  <c r="K498" i="4"/>
  <c r="N497" i="4"/>
  <c r="M497" i="4"/>
  <c r="L497" i="4"/>
  <c r="K497" i="4"/>
  <c r="N496" i="4"/>
  <c r="M496" i="4"/>
  <c r="L496" i="4"/>
  <c r="K496" i="4"/>
  <c r="O496" i="4" s="1"/>
  <c r="N495" i="4"/>
  <c r="M495" i="4"/>
  <c r="L495" i="4"/>
  <c r="K495" i="4"/>
  <c r="O495" i="4" s="1"/>
  <c r="N494" i="4"/>
  <c r="M494" i="4"/>
  <c r="L494" i="4"/>
  <c r="K494" i="4"/>
  <c r="N493" i="4"/>
  <c r="M493" i="4"/>
  <c r="L493" i="4"/>
  <c r="K493" i="4"/>
  <c r="N492" i="4"/>
  <c r="M492" i="4"/>
  <c r="L492" i="4"/>
  <c r="K492" i="4"/>
  <c r="O492" i="4" s="1"/>
  <c r="N491" i="4"/>
  <c r="M491" i="4"/>
  <c r="L491" i="4"/>
  <c r="K491" i="4"/>
  <c r="O491" i="4" s="1"/>
  <c r="N490" i="4"/>
  <c r="M490" i="4"/>
  <c r="L490" i="4"/>
  <c r="K490" i="4"/>
  <c r="N489" i="4"/>
  <c r="M489" i="4"/>
  <c r="L489" i="4"/>
  <c r="K489" i="4"/>
  <c r="N488" i="4"/>
  <c r="M488" i="4"/>
  <c r="L488" i="4"/>
  <c r="K488" i="4"/>
  <c r="O488" i="4" s="1"/>
  <c r="N487" i="4"/>
  <c r="M487" i="4"/>
  <c r="L487" i="4"/>
  <c r="K487" i="4"/>
  <c r="O487" i="4" s="1"/>
  <c r="N486" i="4"/>
  <c r="M486" i="4"/>
  <c r="L486" i="4"/>
  <c r="K486" i="4"/>
  <c r="N485" i="4"/>
  <c r="M485" i="4"/>
  <c r="L485" i="4"/>
  <c r="K485" i="4"/>
  <c r="N484" i="4"/>
  <c r="M484" i="4"/>
  <c r="L484" i="4"/>
  <c r="K484" i="4"/>
  <c r="O484" i="4" s="1"/>
  <c r="N483" i="4"/>
  <c r="M483" i="4"/>
  <c r="L483" i="4"/>
  <c r="K483" i="4"/>
  <c r="O483" i="4" s="1"/>
  <c r="N482" i="4"/>
  <c r="M482" i="4"/>
  <c r="L482" i="4"/>
  <c r="K482" i="4"/>
  <c r="N481" i="4"/>
  <c r="M481" i="4"/>
  <c r="L481" i="4"/>
  <c r="K481" i="4"/>
  <c r="N480" i="4"/>
  <c r="M480" i="4"/>
  <c r="L480" i="4"/>
  <c r="K480" i="4"/>
  <c r="O480" i="4" s="1"/>
  <c r="N479" i="4"/>
  <c r="M479" i="4"/>
  <c r="L479" i="4"/>
  <c r="K479" i="4"/>
  <c r="O479" i="4" s="1"/>
  <c r="N478" i="4"/>
  <c r="M478" i="4"/>
  <c r="L478" i="4"/>
  <c r="K478" i="4"/>
  <c r="N477" i="4"/>
  <c r="M477" i="4"/>
  <c r="L477" i="4"/>
  <c r="K477" i="4"/>
  <c r="N476" i="4"/>
  <c r="M476" i="4"/>
  <c r="L476" i="4"/>
  <c r="K476" i="4"/>
  <c r="O476" i="4" s="1"/>
  <c r="N475" i="4"/>
  <c r="M475" i="4"/>
  <c r="L475" i="4"/>
  <c r="K475" i="4"/>
  <c r="O475" i="4" s="1"/>
  <c r="N474" i="4"/>
  <c r="M474" i="4"/>
  <c r="L474" i="4"/>
  <c r="K474" i="4"/>
  <c r="N473" i="4"/>
  <c r="M473" i="4"/>
  <c r="L473" i="4"/>
  <c r="K473" i="4"/>
  <c r="N472" i="4"/>
  <c r="M472" i="4"/>
  <c r="L472" i="4"/>
  <c r="K472" i="4"/>
  <c r="O472" i="4" s="1"/>
  <c r="N471" i="4"/>
  <c r="M471" i="4"/>
  <c r="L471" i="4"/>
  <c r="K471" i="4"/>
  <c r="O471" i="4" s="1"/>
  <c r="N470" i="4"/>
  <c r="M470" i="4"/>
  <c r="L470" i="4"/>
  <c r="K470" i="4"/>
  <c r="N469" i="4"/>
  <c r="M469" i="4"/>
  <c r="L469" i="4"/>
  <c r="K469" i="4"/>
  <c r="N468" i="4"/>
  <c r="M468" i="4"/>
  <c r="L468" i="4"/>
  <c r="K468" i="4"/>
  <c r="O468" i="4" s="1"/>
  <c r="N467" i="4"/>
  <c r="M467" i="4"/>
  <c r="L467" i="4"/>
  <c r="K467" i="4"/>
  <c r="O467" i="4" s="1"/>
  <c r="N466" i="4"/>
  <c r="M466" i="4"/>
  <c r="L466" i="4"/>
  <c r="K466" i="4"/>
  <c r="N465" i="4"/>
  <c r="M465" i="4"/>
  <c r="L465" i="4"/>
  <c r="K465" i="4"/>
  <c r="N464" i="4"/>
  <c r="M464" i="4"/>
  <c r="L464" i="4"/>
  <c r="K464" i="4"/>
  <c r="N463" i="4"/>
  <c r="M463" i="4"/>
  <c r="L463" i="4"/>
  <c r="K463" i="4"/>
  <c r="O463" i="4" s="1"/>
  <c r="N462" i="4"/>
  <c r="M462" i="4"/>
  <c r="L462" i="4"/>
  <c r="K462" i="4"/>
  <c r="N461" i="4"/>
  <c r="M461" i="4"/>
  <c r="L461" i="4"/>
  <c r="K461" i="4"/>
  <c r="N460" i="4"/>
  <c r="M460" i="4"/>
  <c r="L460" i="4"/>
  <c r="K460" i="4"/>
  <c r="N459" i="4"/>
  <c r="M459" i="4"/>
  <c r="L459" i="4"/>
  <c r="K459" i="4"/>
  <c r="O459" i="4" s="1"/>
  <c r="N458" i="4"/>
  <c r="M458" i="4"/>
  <c r="L458" i="4"/>
  <c r="K458" i="4"/>
  <c r="N457" i="4"/>
  <c r="M457" i="4"/>
  <c r="L457" i="4"/>
  <c r="K457" i="4"/>
  <c r="N456" i="4"/>
  <c r="M456" i="4"/>
  <c r="L456" i="4"/>
  <c r="K456" i="4"/>
  <c r="N455" i="4"/>
  <c r="M455" i="4"/>
  <c r="L455" i="4"/>
  <c r="K455" i="4"/>
  <c r="O455" i="4" s="1"/>
  <c r="N454" i="4"/>
  <c r="M454" i="4"/>
  <c r="L454" i="4"/>
  <c r="K454" i="4"/>
  <c r="N453" i="4"/>
  <c r="M453" i="4"/>
  <c r="L453" i="4"/>
  <c r="K453" i="4"/>
  <c r="N452" i="4"/>
  <c r="M452" i="4"/>
  <c r="L452" i="4"/>
  <c r="K452" i="4"/>
  <c r="N451" i="4"/>
  <c r="M451" i="4"/>
  <c r="L451" i="4"/>
  <c r="K451" i="4"/>
  <c r="O451" i="4" s="1"/>
  <c r="N450" i="4"/>
  <c r="M450" i="4"/>
  <c r="L450" i="4"/>
  <c r="K450" i="4"/>
  <c r="N449" i="4"/>
  <c r="M449" i="4"/>
  <c r="L449" i="4"/>
  <c r="K449" i="4"/>
  <c r="N448" i="4"/>
  <c r="M448" i="4"/>
  <c r="L448" i="4"/>
  <c r="K448" i="4"/>
  <c r="N447" i="4"/>
  <c r="M447" i="4"/>
  <c r="L447" i="4"/>
  <c r="K447" i="4"/>
  <c r="O447" i="4" s="1"/>
  <c r="N446" i="4"/>
  <c r="M446" i="4"/>
  <c r="L446" i="4"/>
  <c r="K446" i="4"/>
  <c r="N445" i="4"/>
  <c r="M445" i="4"/>
  <c r="L445" i="4"/>
  <c r="K445" i="4"/>
  <c r="N444" i="4"/>
  <c r="M444" i="4"/>
  <c r="L444" i="4"/>
  <c r="K444" i="4"/>
  <c r="N443" i="4"/>
  <c r="M443" i="4"/>
  <c r="L443" i="4"/>
  <c r="K443" i="4"/>
  <c r="O443" i="4" s="1"/>
  <c r="N442" i="4"/>
  <c r="M442" i="4"/>
  <c r="L442" i="4"/>
  <c r="K442" i="4"/>
  <c r="N441" i="4"/>
  <c r="M441" i="4"/>
  <c r="L441" i="4"/>
  <c r="K441" i="4"/>
  <c r="N440" i="4"/>
  <c r="M440" i="4"/>
  <c r="L440" i="4"/>
  <c r="K440" i="4"/>
  <c r="N439" i="4"/>
  <c r="M439" i="4"/>
  <c r="L439" i="4"/>
  <c r="K439" i="4"/>
  <c r="O439" i="4" s="1"/>
  <c r="N438" i="4"/>
  <c r="M438" i="4"/>
  <c r="L438" i="4"/>
  <c r="K438" i="4"/>
  <c r="N437" i="4"/>
  <c r="M437" i="4"/>
  <c r="L437" i="4"/>
  <c r="K437" i="4"/>
  <c r="N436" i="4"/>
  <c r="M436" i="4"/>
  <c r="L436" i="4"/>
  <c r="K436" i="4"/>
  <c r="N435" i="4"/>
  <c r="M435" i="4"/>
  <c r="L435" i="4"/>
  <c r="K435" i="4"/>
  <c r="O435" i="4" s="1"/>
  <c r="N434" i="4"/>
  <c r="M434" i="4"/>
  <c r="L434" i="4"/>
  <c r="K434" i="4"/>
  <c r="N433" i="4"/>
  <c r="M433" i="4"/>
  <c r="L433" i="4"/>
  <c r="K433" i="4"/>
  <c r="N432" i="4"/>
  <c r="M432" i="4"/>
  <c r="L432" i="4"/>
  <c r="K432" i="4"/>
  <c r="N431" i="4"/>
  <c r="M431" i="4"/>
  <c r="L431" i="4"/>
  <c r="K431" i="4"/>
  <c r="O431" i="4" s="1"/>
  <c r="N430" i="4"/>
  <c r="M430" i="4"/>
  <c r="L430" i="4"/>
  <c r="K430" i="4"/>
  <c r="N429" i="4"/>
  <c r="M429" i="4"/>
  <c r="L429" i="4"/>
  <c r="K429" i="4"/>
  <c r="N428" i="4"/>
  <c r="M428" i="4"/>
  <c r="L428" i="4"/>
  <c r="K428" i="4"/>
  <c r="N427" i="4"/>
  <c r="M427" i="4"/>
  <c r="L427" i="4"/>
  <c r="K427" i="4"/>
  <c r="O427" i="4" s="1"/>
  <c r="N426" i="4"/>
  <c r="M426" i="4"/>
  <c r="L426" i="4"/>
  <c r="K426" i="4"/>
  <c r="N425" i="4"/>
  <c r="M425" i="4"/>
  <c r="L425" i="4"/>
  <c r="K425" i="4"/>
  <c r="N424" i="4"/>
  <c r="M424" i="4"/>
  <c r="L424" i="4"/>
  <c r="K424" i="4"/>
  <c r="N423" i="4"/>
  <c r="M423" i="4"/>
  <c r="L423" i="4"/>
  <c r="K423" i="4"/>
  <c r="O423" i="4" s="1"/>
  <c r="N422" i="4"/>
  <c r="M422" i="4"/>
  <c r="L422" i="4"/>
  <c r="K422" i="4"/>
  <c r="N421" i="4"/>
  <c r="M421" i="4"/>
  <c r="L421" i="4"/>
  <c r="K421" i="4"/>
  <c r="N420" i="4"/>
  <c r="M420" i="4"/>
  <c r="L420" i="4"/>
  <c r="K420" i="4"/>
  <c r="N419" i="4"/>
  <c r="M419" i="4"/>
  <c r="L419" i="4"/>
  <c r="K419" i="4"/>
  <c r="O419" i="4" s="1"/>
  <c r="N418" i="4"/>
  <c r="M418" i="4"/>
  <c r="L418" i="4"/>
  <c r="K418" i="4"/>
  <c r="N417" i="4"/>
  <c r="M417" i="4"/>
  <c r="L417" i="4"/>
  <c r="K417" i="4"/>
  <c r="N416" i="4"/>
  <c r="M416" i="4"/>
  <c r="L416" i="4"/>
  <c r="K416" i="4"/>
  <c r="N415" i="4"/>
  <c r="M415" i="4"/>
  <c r="L415" i="4"/>
  <c r="K415" i="4"/>
  <c r="O415" i="4" s="1"/>
  <c r="N414" i="4"/>
  <c r="M414" i="4"/>
  <c r="L414" i="4"/>
  <c r="K414" i="4"/>
  <c r="N413" i="4"/>
  <c r="M413" i="4"/>
  <c r="L413" i="4"/>
  <c r="K413" i="4"/>
  <c r="N412" i="4"/>
  <c r="M412" i="4"/>
  <c r="L412" i="4"/>
  <c r="K412" i="4"/>
  <c r="O412" i="4" s="1"/>
  <c r="N411" i="4"/>
  <c r="M411" i="4"/>
  <c r="L411" i="4"/>
  <c r="K411" i="4"/>
  <c r="O411" i="4" s="1"/>
  <c r="N410" i="4"/>
  <c r="M410" i="4"/>
  <c r="L410" i="4"/>
  <c r="K410" i="4"/>
  <c r="N409" i="4"/>
  <c r="M409" i="4"/>
  <c r="L409" i="4"/>
  <c r="K409" i="4"/>
  <c r="N408" i="4"/>
  <c r="M408" i="4"/>
  <c r="L408" i="4"/>
  <c r="K408" i="4"/>
  <c r="O408" i="4" s="1"/>
  <c r="N407" i="4"/>
  <c r="M407" i="4"/>
  <c r="L407" i="4"/>
  <c r="K407" i="4"/>
  <c r="O407" i="4" s="1"/>
  <c r="N406" i="4"/>
  <c r="M406" i="4"/>
  <c r="L406" i="4"/>
  <c r="K406" i="4"/>
  <c r="N405" i="4"/>
  <c r="M405" i="4"/>
  <c r="L405" i="4"/>
  <c r="K405" i="4"/>
  <c r="N404" i="4"/>
  <c r="M404" i="4"/>
  <c r="L404" i="4"/>
  <c r="K404" i="4"/>
  <c r="O404" i="4" s="1"/>
  <c r="N403" i="4"/>
  <c r="M403" i="4"/>
  <c r="L403" i="4"/>
  <c r="K403" i="4"/>
  <c r="O403" i="4" s="1"/>
  <c r="N402" i="4"/>
  <c r="M402" i="4"/>
  <c r="L402" i="4"/>
  <c r="K402" i="4"/>
  <c r="N401" i="4"/>
  <c r="M401" i="4"/>
  <c r="L401" i="4"/>
  <c r="K401" i="4"/>
  <c r="N400" i="4"/>
  <c r="M400" i="4"/>
  <c r="L400" i="4"/>
  <c r="K400" i="4"/>
  <c r="O400" i="4" s="1"/>
  <c r="N399" i="4"/>
  <c r="M399" i="4"/>
  <c r="L399" i="4"/>
  <c r="K399" i="4"/>
  <c r="O399" i="4" s="1"/>
  <c r="N398" i="4"/>
  <c r="M398" i="4"/>
  <c r="L398" i="4"/>
  <c r="K398" i="4"/>
  <c r="N397" i="4"/>
  <c r="M397" i="4"/>
  <c r="L397" i="4"/>
  <c r="K397" i="4"/>
  <c r="N396" i="4"/>
  <c r="M396" i="4"/>
  <c r="L396" i="4"/>
  <c r="K396" i="4"/>
  <c r="O396" i="4" s="1"/>
  <c r="N395" i="4"/>
  <c r="M395" i="4"/>
  <c r="L395" i="4"/>
  <c r="K395" i="4"/>
  <c r="O395" i="4" s="1"/>
  <c r="N394" i="4"/>
  <c r="M394" i="4"/>
  <c r="L394" i="4"/>
  <c r="K394" i="4"/>
  <c r="N393" i="4"/>
  <c r="M393" i="4"/>
  <c r="L393" i="4"/>
  <c r="K393" i="4"/>
  <c r="N392" i="4"/>
  <c r="M392" i="4"/>
  <c r="L392" i="4"/>
  <c r="K392" i="4"/>
  <c r="O392" i="4" s="1"/>
  <c r="N391" i="4"/>
  <c r="M391" i="4"/>
  <c r="L391" i="4"/>
  <c r="K391" i="4"/>
  <c r="O391" i="4" s="1"/>
  <c r="N390" i="4"/>
  <c r="M390" i="4"/>
  <c r="L390" i="4"/>
  <c r="K390" i="4"/>
  <c r="N389" i="4"/>
  <c r="M389" i="4"/>
  <c r="L389" i="4"/>
  <c r="K389" i="4"/>
  <c r="N388" i="4"/>
  <c r="M388" i="4"/>
  <c r="L388" i="4"/>
  <c r="K388" i="4"/>
  <c r="O388" i="4" s="1"/>
  <c r="N387" i="4"/>
  <c r="M387" i="4"/>
  <c r="L387" i="4"/>
  <c r="K387" i="4"/>
  <c r="O387" i="4" s="1"/>
  <c r="N386" i="4"/>
  <c r="M386" i="4"/>
  <c r="L386" i="4"/>
  <c r="K386" i="4"/>
  <c r="N385" i="4"/>
  <c r="M385" i="4"/>
  <c r="L385" i="4"/>
  <c r="K385" i="4"/>
  <c r="N384" i="4"/>
  <c r="M384" i="4"/>
  <c r="L384" i="4"/>
  <c r="K384" i="4"/>
  <c r="O384" i="4" s="1"/>
  <c r="N383" i="4"/>
  <c r="M383" i="4"/>
  <c r="L383" i="4"/>
  <c r="K383" i="4"/>
  <c r="O383" i="4" s="1"/>
  <c r="N382" i="4"/>
  <c r="M382" i="4"/>
  <c r="L382" i="4"/>
  <c r="K382" i="4"/>
  <c r="N381" i="4"/>
  <c r="M381" i="4"/>
  <c r="L381" i="4"/>
  <c r="K381" i="4"/>
  <c r="N380" i="4"/>
  <c r="M380" i="4"/>
  <c r="L380" i="4"/>
  <c r="K380" i="4"/>
  <c r="O380" i="4" s="1"/>
  <c r="N379" i="4"/>
  <c r="M379" i="4"/>
  <c r="L379" i="4"/>
  <c r="K379" i="4"/>
  <c r="O379" i="4" s="1"/>
  <c r="N378" i="4"/>
  <c r="M378" i="4"/>
  <c r="L378" i="4"/>
  <c r="K378" i="4"/>
  <c r="N377" i="4"/>
  <c r="M377" i="4"/>
  <c r="L377" i="4"/>
  <c r="K377" i="4"/>
  <c r="N376" i="4"/>
  <c r="M376" i="4"/>
  <c r="L376" i="4"/>
  <c r="K376" i="4"/>
  <c r="O376" i="4" s="1"/>
  <c r="N375" i="4"/>
  <c r="M375" i="4"/>
  <c r="L375" i="4"/>
  <c r="K375" i="4"/>
  <c r="O375" i="4" s="1"/>
  <c r="N374" i="4"/>
  <c r="M374" i="4"/>
  <c r="L374" i="4"/>
  <c r="K374" i="4"/>
  <c r="N373" i="4"/>
  <c r="M373" i="4"/>
  <c r="L373" i="4"/>
  <c r="K373" i="4"/>
  <c r="N372" i="4"/>
  <c r="M372" i="4"/>
  <c r="L372" i="4"/>
  <c r="K372" i="4"/>
  <c r="O372" i="4" s="1"/>
  <c r="N371" i="4"/>
  <c r="M371" i="4"/>
  <c r="L371" i="4"/>
  <c r="K371" i="4"/>
  <c r="O371" i="4" s="1"/>
  <c r="N370" i="4"/>
  <c r="M370" i="4"/>
  <c r="L370" i="4"/>
  <c r="K370" i="4"/>
  <c r="N369" i="4"/>
  <c r="M369" i="4"/>
  <c r="L369" i="4"/>
  <c r="K369" i="4"/>
  <c r="N368" i="4"/>
  <c r="M368" i="4"/>
  <c r="L368" i="4"/>
  <c r="K368" i="4"/>
  <c r="O368" i="4" s="1"/>
  <c r="N367" i="4"/>
  <c r="M367" i="4"/>
  <c r="L367" i="4"/>
  <c r="K367" i="4"/>
  <c r="O367" i="4" s="1"/>
  <c r="N366" i="4"/>
  <c r="M366" i="4"/>
  <c r="L366" i="4"/>
  <c r="K366" i="4"/>
  <c r="N365" i="4"/>
  <c r="M365" i="4"/>
  <c r="L365" i="4"/>
  <c r="K365" i="4"/>
  <c r="N364" i="4"/>
  <c r="M364" i="4"/>
  <c r="L364" i="4"/>
  <c r="K364" i="4"/>
  <c r="N363" i="4"/>
  <c r="M363" i="4"/>
  <c r="L363" i="4"/>
  <c r="K363" i="4"/>
  <c r="O363" i="4" s="1"/>
  <c r="N362" i="4"/>
  <c r="M362" i="4"/>
  <c r="L362" i="4"/>
  <c r="K362" i="4"/>
  <c r="N361" i="4"/>
  <c r="M361" i="4"/>
  <c r="L361" i="4"/>
  <c r="K361" i="4"/>
  <c r="N360" i="4"/>
  <c r="M360" i="4"/>
  <c r="L360" i="4"/>
  <c r="K360" i="4"/>
  <c r="N359" i="4"/>
  <c r="M359" i="4"/>
  <c r="L359" i="4"/>
  <c r="K359" i="4"/>
  <c r="O359" i="4" s="1"/>
  <c r="N358" i="4"/>
  <c r="M358" i="4"/>
  <c r="L358" i="4"/>
  <c r="K358" i="4"/>
  <c r="N357" i="4"/>
  <c r="M357" i="4"/>
  <c r="L357" i="4"/>
  <c r="K357" i="4"/>
  <c r="N356" i="4"/>
  <c r="M356" i="4"/>
  <c r="L356" i="4"/>
  <c r="K356" i="4"/>
  <c r="N355" i="4"/>
  <c r="M355" i="4"/>
  <c r="L355" i="4"/>
  <c r="K355" i="4"/>
  <c r="O355" i="4" s="1"/>
  <c r="N354" i="4"/>
  <c r="M354" i="4"/>
  <c r="L354" i="4"/>
  <c r="K354" i="4"/>
  <c r="N353" i="4"/>
  <c r="M353" i="4"/>
  <c r="L353" i="4"/>
  <c r="K353" i="4"/>
  <c r="N352" i="4"/>
  <c r="M352" i="4"/>
  <c r="L352" i="4"/>
  <c r="K352" i="4"/>
  <c r="N351" i="4"/>
  <c r="M351" i="4"/>
  <c r="L351" i="4"/>
  <c r="K351" i="4"/>
  <c r="O351" i="4" s="1"/>
  <c r="N350" i="4"/>
  <c r="M350" i="4"/>
  <c r="L350" i="4"/>
  <c r="K350" i="4"/>
  <c r="N349" i="4"/>
  <c r="M349" i="4"/>
  <c r="L349" i="4"/>
  <c r="K349" i="4"/>
  <c r="N348" i="4"/>
  <c r="M348" i="4"/>
  <c r="L348" i="4"/>
  <c r="K348" i="4"/>
  <c r="N347" i="4"/>
  <c r="M347" i="4"/>
  <c r="L347" i="4"/>
  <c r="K347" i="4"/>
  <c r="O347" i="4" s="1"/>
  <c r="N346" i="4"/>
  <c r="M346" i="4"/>
  <c r="L346" i="4"/>
  <c r="K346" i="4"/>
  <c r="N345" i="4"/>
  <c r="M345" i="4"/>
  <c r="L345" i="4"/>
  <c r="K345" i="4"/>
  <c r="N344" i="4"/>
  <c r="M344" i="4"/>
  <c r="L344" i="4"/>
  <c r="K344" i="4"/>
  <c r="N343" i="4"/>
  <c r="M343" i="4"/>
  <c r="L343" i="4"/>
  <c r="K343" i="4"/>
  <c r="O343" i="4" s="1"/>
  <c r="N342" i="4"/>
  <c r="M342" i="4"/>
  <c r="L342" i="4"/>
  <c r="K342" i="4"/>
  <c r="N341" i="4"/>
  <c r="M341" i="4"/>
  <c r="L341" i="4"/>
  <c r="K341" i="4"/>
  <c r="N340" i="4"/>
  <c r="M340" i="4"/>
  <c r="L340" i="4"/>
  <c r="K340" i="4"/>
  <c r="O340" i="4" s="1"/>
  <c r="N339" i="4"/>
  <c r="M339" i="4"/>
  <c r="L339" i="4"/>
  <c r="K339" i="4"/>
  <c r="O339" i="4" s="1"/>
  <c r="N338" i="4"/>
  <c r="M338" i="4"/>
  <c r="L338" i="4"/>
  <c r="K338" i="4"/>
  <c r="N337" i="4"/>
  <c r="M337" i="4"/>
  <c r="L337" i="4"/>
  <c r="K337" i="4"/>
  <c r="N336" i="4"/>
  <c r="M336" i="4"/>
  <c r="L336" i="4"/>
  <c r="K336" i="4"/>
  <c r="N335" i="4"/>
  <c r="M335" i="4"/>
  <c r="L335" i="4"/>
  <c r="K335" i="4"/>
  <c r="O335" i="4" s="1"/>
  <c r="N334" i="4"/>
  <c r="M334" i="4"/>
  <c r="L334" i="4"/>
  <c r="K334" i="4"/>
  <c r="N333" i="4"/>
  <c r="M333" i="4"/>
  <c r="L333" i="4"/>
  <c r="K333" i="4"/>
  <c r="N332" i="4"/>
  <c r="M332" i="4"/>
  <c r="L332" i="4"/>
  <c r="K332" i="4"/>
  <c r="N331" i="4"/>
  <c r="M331" i="4"/>
  <c r="L331" i="4"/>
  <c r="K331" i="4"/>
  <c r="O331" i="4" s="1"/>
  <c r="N330" i="4"/>
  <c r="M330" i="4"/>
  <c r="L330" i="4"/>
  <c r="K330" i="4"/>
  <c r="N329" i="4"/>
  <c r="M329" i="4"/>
  <c r="L329" i="4"/>
  <c r="K329" i="4"/>
  <c r="N328" i="4"/>
  <c r="M328" i="4"/>
  <c r="L328" i="4"/>
  <c r="K328" i="4"/>
  <c r="N327" i="4"/>
  <c r="M327" i="4"/>
  <c r="L327" i="4"/>
  <c r="K327" i="4"/>
  <c r="O327" i="4" s="1"/>
  <c r="N326" i="4"/>
  <c r="M326" i="4"/>
  <c r="L326" i="4"/>
  <c r="K326" i="4"/>
  <c r="N325" i="4"/>
  <c r="M325" i="4"/>
  <c r="L325" i="4"/>
  <c r="K325" i="4"/>
  <c r="N324" i="4"/>
  <c r="M324" i="4"/>
  <c r="L324" i="4"/>
  <c r="K324" i="4"/>
  <c r="N323" i="4"/>
  <c r="M323" i="4"/>
  <c r="L323" i="4"/>
  <c r="K323" i="4"/>
  <c r="O323" i="4" s="1"/>
  <c r="N322" i="4"/>
  <c r="M322" i="4"/>
  <c r="L322" i="4"/>
  <c r="K322" i="4"/>
  <c r="N321" i="4"/>
  <c r="M321" i="4"/>
  <c r="L321" i="4"/>
  <c r="K321" i="4"/>
  <c r="N320" i="4"/>
  <c r="M320" i="4"/>
  <c r="L320" i="4"/>
  <c r="K320" i="4"/>
  <c r="N319" i="4"/>
  <c r="M319" i="4"/>
  <c r="L319" i="4"/>
  <c r="K319" i="4"/>
  <c r="O319" i="4" s="1"/>
  <c r="N318" i="4"/>
  <c r="M318" i="4"/>
  <c r="L318" i="4"/>
  <c r="K318" i="4"/>
  <c r="N317" i="4"/>
  <c r="M317" i="4"/>
  <c r="L317" i="4"/>
  <c r="K317" i="4"/>
  <c r="N316" i="4"/>
  <c r="M316" i="4"/>
  <c r="L316" i="4"/>
  <c r="K316" i="4"/>
  <c r="N315" i="4"/>
  <c r="M315" i="4"/>
  <c r="L315" i="4"/>
  <c r="K315" i="4"/>
  <c r="O315" i="4" s="1"/>
  <c r="N314" i="4"/>
  <c r="M314" i="4"/>
  <c r="L314" i="4"/>
  <c r="K314" i="4"/>
  <c r="N313" i="4"/>
  <c r="M313" i="4"/>
  <c r="L313" i="4"/>
  <c r="K313" i="4"/>
  <c r="N312" i="4"/>
  <c r="M312" i="4"/>
  <c r="L312" i="4"/>
  <c r="K312" i="4"/>
  <c r="N311" i="4"/>
  <c r="M311" i="4"/>
  <c r="L311" i="4"/>
  <c r="K311" i="4"/>
  <c r="O311" i="4" s="1"/>
  <c r="N310" i="4"/>
  <c r="M310" i="4"/>
  <c r="L310" i="4"/>
  <c r="K310" i="4"/>
  <c r="N309" i="4"/>
  <c r="M309" i="4"/>
  <c r="L309" i="4"/>
  <c r="K309" i="4"/>
  <c r="N308" i="4"/>
  <c r="M308" i="4"/>
  <c r="L308" i="4"/>
  <c r="K308" i="4"/>
  <c r="N307" i="4"/>
  <c r="M307" i="4"/>
  <c r="L307" i="4"/>
  <c r="K307" i="4"/>
  <c r="O307" i="4" s="1"/>
  <c r="N306" i="4"/>
  <c r="M306" i="4"/>
  <c r="L306" i="4"/>
  <c r="K306" i="4"/>
  <c r="N305" i="4"/>
  <c r="M305" i="4"/>
  <c r="L305" i="4"/>
  <c r="K305" i="4"/>
  <c r="N304" i="4"/>
  <c r="M304" i="4"/>
  <c r="L304" i="4"/>
  <c r="K304" i="4"/>
  <c r="N303" i="4"/>
  <c r="M303" i="4"/>
  <c r="L303" i="4"/>
  <c r="K303" i="4"/>
  <c r="O303" i="4" s="1"/>
  <c r="N302" i="4"/>
  <c r="M302" i="4"/>
  <c r="L302" i="4"/>
  <c r="K302" i="4"/>
  <c r="N301" i="4"/>
  <c r="M301" i="4"/>
  <c r="L301" i="4"/>
  <c r="K301" i="4"/>
  <c r="N300" i="4"/>
  <c r="M300" i="4"/>
  <c r="L300" i="4"/>
  <c r="K300" i="4"/>
  <c r="N299" i="4"/>
  <c r="M299" i="4"/>
  <c r="L299" i="4"/>
  <c r="K299" i="4"/>
  <c r="O299" i="4" s="1"/>
  <c r="N298" i="4"/>
  <c r="M298" i="4"/>
  <c r="L298" i="4"/>
  <c r="K298" i="4"/>
  <c r="N297" i="4"/>
  <c r="M297" i="4"/>
  <c r="L297" i="4"/>
  <c r="K297" i="4"/>
  <c r="N296" i="4"/>
  <c r="M296" i="4"/>
  <c r="L296" i="4"/>
  <c r="K296" i="4"/>
  <c r="N295" i="4"/>
  <c r="M295" i="4"/>
  <c r="L295" i="4"/>
  <c r="K295" i="4"/>
  <c r="O295" i="4" s="1"/>
  <c r="N294" i="4"/>
  <c r="M294" i="4"/>
  <c r="L294" i="4"/>
  <c r="K294" i="4"/>
  <c r="N293" i="4"/>
  <c r="M293" i="4"/>
  <c r="L293" i="4"/>
  <c r="K293" i="4"/>
  <c r="N292" i="4"/>
  <c r="M292" i="4"/>
  <c r="L292" i="4"/>
  <c r="K292" i="4"/>
  <c r="N291" i="4"/>
  <c r="M291" i="4"/>
  <c r="L291" i="4"/>
  <c r="K291" i="4"/>
  <c r="O291" i="4" s="1"/>
  <c r="N290" i="4"/>
  <c r="M290" i="4"/>
  <c r="L290" i="4"/>
  <c r="K290" i="4"/>
  <c r="N289" i="4"/>
  <c r="M289" i="4"/>
  <c r="L289" i="4"/>
  <c r="K289" i="4"/>
  <c r="N288" i="4"/>
  <c r="M288" i="4"/>
  <c r="L288" i="4"/>
  <c r="K288" i="4"/>
  <c r="N287" i="4"/>
  <c r="M287" i="4"/>
  <c r="L287" i="4"/>
  <c r="K287" i="4"/>
  <c r="O287" i="4" s="1"/>
  <c r="N286" i="4"/>
  <c r="M286" i="4"/>
  <c r="L286" i="4"/>
  <c r="K286" i="4"/>
  <c r="N285" i="4"/>
  <c r="M285" i="4"/>
  <c r="L285" i="4"/>
  <c r="K285" i="4"/>
  <c r="N284" i="4"/>
  <c r="M284" i="4"/>
  <c r="L284" i="4"/>
  <c r="K284" i="4"/>
  <c r="N283" i="4"/>
  <c r="M283" i="4"/>
  <c r="L283" i="4"/>
  <c r="K283" i="4"/>
  <c r="O283" i="4" s="1"/>
  <c r="N282" i="4"/>
  <c r="M282" i="4"/>
  <c r="L282" i="4"/>
  <c r="K282" i="4"/>
  <c r="N281" i="4"/>
  <c r="M281" i="4"/>
  <c r="L281" i="4"/>
  <c r="K281" i="4"/>
  <c r="N280" i="4"/>
  <c r="M280" i="4"/>
  <c r="L280" i="4"/>
  <c r="K280" i="4"/>
  <c r="N279" i="4"/>
  <c r="M279" i="4"/>
  <c r="L279" i="4"/>
  <c r="K279" i="4"/>
  <c r="O279" i="4" s="1"/>
  <c r="N278" i="4"/>
  <c r="M278" i="4"/>
  <c r="L278" i="4"/>
  <c r="K278" i="4"/>
  <c r="N277" i="4"/>
  <c r="M277" i="4"/>
  <c r="L277" i="4"/>
  <c r="K277" i="4"/>
  <c r="N276" i="4"/>
  <c r="M276" i="4"/>
  <c r="L276" i="4"/>
  <c r="K276" i="4"/>
  <c r="N275" i="4"/>
  <c r="M275" i="4"/>
  <c r="L275" i="4"/>
  <c r="K275" i="4"/>
  <c r="O275" i="4" s="1"/>
  <c r="N274" i="4"/>
  <c r="M274" i="4"/>
  <c r="L274" i="4"/>
  <c r="K274" i="4"/>
  <c r="N273" i="4"/>
  <c r="M273" i="4"/>
  <c r="L273" i="4"/>
  <c r="K273" i="4"/>
  <c r="N272" i="4"/>
  <c r="M272" i="4"/>
  <c r="L272" i="4"/>
  <c r="K272" i="4"/>
  <c r="N271" i="4"/>
  <c r="M271" i="4"/>
  <c r="L271" i="4"/>
  <c r="K271" i="4"/>
  <c r="O271" i="4" s="1"/>
  <c r="N270" i="4"/>
  <c r="M270" i="4"/>
  <c r="L270" i="4"/>
  <c r="K270" i="4"/>
  <c r="N269" i="4"/>
  <c r="M269" i="4"/>
  <c r="L269" i="4"/>
  <c r="K269" i="4"/>
  <c r="N268" i="4"/>
  <c r="M268" i="4"/>
  <c r="L268" i="4"/>
  <c r="K268" i="4"/>
  <c r="N267" i="4"/>
  <c r="M267" i="4"/>
  <c r="L267" i="4"/>
  <c r="K267" i="4"/>
  <c r="O267" i="4" s="1"/>
  <c r="N266" i="4"/>
  <c r="M266" i="4"/>
  <c r="L266" i="4"/>
  <c r="K266" i="4"/>
  <c r="N265" i="4"/>
  <c r="M265" i="4"/>
  <c r="L265" i="4"/>
  <c r="K265" i="4"/>
  <c r="N264" i="4"/>
  <c r="M264" i="4"/>
  <c r="L264" i="4"/>
  <c r="K264" i="4"/>
  <c r="N263" i="4"/>
  <c r="M263" i="4"/>
  <c r="L263" i="4"/>
  <c r="K263" i="4"/>
  <c r="O263" i="4" s="1"/>
  <c r="N262" i="4"/>
  <c r="M262" i="4"/>
  <c r="L262" i="4"/>
  <c r="K262" i="4"/>
  <c r="N261" i="4"/>
  <c r="M261" i="4"/>
  <c r="L261" i="4"/>
  <c r="K261" i="4"/>
  <c r="N260" i="4"/>
  <c r="M260" i="4"/>
  <c r="L260" i="4"/>
  <c r="K260" i="4"/>
  <c r="N259" i="4"/>
  <c r="M259" i="4"/>
  <c r="L259" i="4"/>
  <c r="K259" i="4"/>
  <c r="O259" i="4" s="1"/>
  <c r="N258" i="4"/>
  <c r="M258" i="4"/>
  <c r="L258" i="4"/>
  <c r="K258" i="4"/>
  <c r="N257" i="4"/>
  <c r="M257" i="4"/>
  <c r="L257" i="4"/>
  <c r="K257" i="4"/>
  <c r="N256" i="4"/>
  <c r="M256" i="4"/>
  <c r="L256" i="4"/>
  <c r="K256" i="4"/>
  <c r="N255" i="4"/>
  <c r="M255" i="4"/>
  <c r="L255" i="4"/>
  <c r="K255" i="4"/>
  <c r="O255" i="4" s="1"/>
  <c r="N254" i="4"/>
  <c r="M254" i="4"/>
  <c r="L254" i="4"/>
  <c r="K254" i="4"/>
  <c r="N253" i="4"/>
  <c r="M253" i="4"/>
  <c r="L253" i="4"/>
  <c r="K253" i="4"/>
  <c r="N252" i="4"/>
  <c r="M252" i="4"/>
  <c r="L252" i="4"/>
  <c r="K252" i="4"/>
  <c r="N251" i="4"/>
  <c r="M251" i="4"/>
  <c r="L251" i="4"/>
  <c r="K251" i="4"/>
  <c r="O251" i="4" s="1"/>
  <c r="N250" i="4"/>
  <c r="M250" i="4"/>
  <c r="L250" i="4"/>
  <c r="K250" i="4"/>
  <c r="N249" i="4"/>
  <c r="M249" i="4"/>
  <c r="L249" i="4"/>
  <c r="K249" i="4"/>
  <c r="N248" i="4"/>
  <c r="M248" i="4"/>
  <c r="L248" i="4"/>
  <c r="K248" i="4"/>
  <c r="N247" i="4"/>
  <c r="M247" i="4"/>
  <c r="L247" i="4"/>
  <c r="K247" i="4"/>
  <c r="O247" i="4" s="1"/>
  <c r="N246" i="4"/>
  <c r="M246" i="4"/>
  <c r="L246" i="4"/>
  <c r="K246" i="4"/>
  <c r="N245" i="4"/>
  <c r="M245" i="4"/>
  <c r="L245" i="4"/>
  <c r="K245" i="4"/>
  <c r="N244" i="4"/>
  <c r="M244" i="4"/>
  <c r="L244" i="4"/>
  <c r="K244" i="4"/>
  <c r="N243" i="4"/>
  <c r="M243" i="4"/>
  <c r="L243" i="4"/>
  <c r="K243" i="4"/>
  <c r="O243" i="4" s="1"/>
  <c r="N242" i="4"/>
  <c r="M242" i="4"/>
  <c r="L242" i="4"/>
  <c r="K242" i="4"/>
  <c r="N241" i="4"/>
  <c r="M241" i="4"/>
  <c r="L241" i="4"/>
  <c r="K241" i="4"/>
  <c r="N240" i="4"/>
  <c r="M240" i="4"/>
  <c r="L240" i="4"/>
  <c r="K240" i="4"/>
  <c r="N239" i="4"/>
  <c r="M239" i="4"/>
  <c r="L239" i="4"/>
  <c r="K239" i="4"/>
  <c r="O239" i="4" s="1"/>
  <c r="N238" i="4"/>
  <c r="M238" i="4"/>
  <c r="L238" i="4"/>
  <c r="K238" i="4"/>
  <c r="N237" i="4"/>
  <c r="M237" i="4"/>
  <c r="L237" i="4"/>
  <c r="K237" i="4"/>
  <c r="N236" i="4"/>
  <c r="M236" i="4"/>
  <c r="L236" i="4"/>
  <c r="K236" i="4"/>
  <c r="N235" i="4"/>
  <c r="M235" i="4"/>
  <c r="L235" i="4"/>
  <c r="K235" i="4"/>
  <c r="O235" i="4" s="1"/>
  <c r="N234" i="4"/>
  <c r="M234" i="4"/>
  <c r="L234" i="4"/>
  <c r="K234" i="4"/>
  <c r="N233" i="4"/>
  <c r="M233" i="4"/>
  <c r="L233" i="4"/>
  <c r="K233" i="4"/>
  <c r="N232" i="4"/>
  <c r="M232" i="4"/>
  <c r="L232" i="4"/>
  <c r="K232" i="4"/>
  <c r="N231" i="4"/>
  <c r="M231" i="4"/>
  <c r="L231" i="4"/>
  <c r="K231" i="4"/>
  <c r="O231" i="4" s="1"/>
  <c r="N230" i="4"/>
  <c r="M230" i="4"/>
  <c r="L230" i="4"/>
  <c r="K230" i="4"/>
  <c r="N229" i="4"/>
  <c r="M229" i="4"/>
  <c r="L229" i="4"/>
  <c r="K229" i="4"/>
  <c r="N228" i="4"/>
  <c r="M228" i="4"/>
  <c r="L228" i="4"/>
  <c r="K228" i="4"/>
  <c r="N227" i="4"/>
  <c r="M227" i="4"/>
  <c r="L227" i="4"/>
  <c r="K227" i="4"/>
  <c r="O227" i="4" s="1"/>
  <c r="N226" i="4"/>
  <c r="M226" i="4"/>
  <c r="L226" i="4"/>
  <c r="K226" i="4"/>
  <c r="N225" i="4"/>
  <c r="M225" i="4"/>
  <c r="L225" i="4"/>
  <c r="K225" i="4"/>
  <c r="N224" i="4"/>
  <c r="M224" i="4"/>
  <c r="L224" i="4"/>
  <c r="K224" i="4"/>
  <c r="N223" i="4"/>
  <c r="M223" i="4"/>
  <c r="L223" i="4"/>
  <c r="K223" i="4"/>
  <c r="O223" i="4" s="1"/>
  <c r="N222" i="4"/>
  <c r="M222" i="4"/>
  <c r="L222" i="4"/>
  <c r="K222" i="4"/>
  <c r="N221" i="4"/>
  <c r="M221" i="4"/>
  <c r="L221" i="4"/>
  <c r="K221" i="4"/>
  <c r="N220" i="4"/>
  <c r="M220" i="4"/>
  <c r="L220" i="4"/>
  <c r="K220" i="4"/>
  <c r="N219" i="4"/>
  <c r="M219" i="4"/>
  <c r="L219" i="4"/>
  <c r="K219" i="4"/>
  <c r="O219" i="4" s="1"/>
  <c r="N218" i="4"/>
  <c r="M218" i="4"/>
  <c r="L218" i="4"/>
  <c r="K218" i="4"/>
  <c r="N217" i="4"/>
  <c r="M217" i="4"/>
  <c r="L217" i="4"/>
  <c r="K217" i="4"/>
  <c r="N216" i="4"/>
  <c r="M216" i="4"/>
  <c r="L216" i="4"/>
  <c r="K216" i="4"/>
  <c r="N215" i="4"/>
  <c r="M215" i="4"/>
  <c r="L215" i="4"/>
  <c r="K215" i="4"/>
  <c r="O215" i="4" s="1"/>
  <c r="N214" i="4"/>
  <c r="M214" i="4"/>
  <c r="L214" i="4"/>
  <c r="K214" i="4"/>
  <c r="N213" i="4"/>
  <c r="M213" i="4"/>
  <c r="L213" i="4"/>
  <c r="K213" i="4"/>
  <c r="N212" i="4"/>
  <c r="M212" i="4"/>
  <c r="L212" i="4"/>
  <c r="K212" i="4"/>
  <c r="N211" i="4"/>
  <c r="M211" i="4"/>
  <c r="L211" i="4"/>
  <c r="K211" i="4"/>
  <c r="O211" i="4" s="1"/>
  <c r="N210" i="4"/>
  <c r="M210" i="4"/>
  <c r="L210" i="4"/>
  <c r="K210" i="4"/>
  <c r="N209" i="4"/>
  <c r="M209" i="4"/>
  <c r="L209" i="4"/>
  <c r="K209" i="4"/>
  <c r="N208" i="4"/>
  <c r="M208" i="4"/>
  <c r="L208" i="4"/>
  <c r="K208" i="4"/>
  <c r="N207" i="4"/>
  <c r="M207" i="4"/>
  <c r="L207" i="4"/>
  <c r="K207" i="4"/>
  <c r="O207" i="4" s="1"/>
  <c r="N206" i="4"/>
  <c r="M206" i="4"/>
  <c r="L206" i="4"/>
  <c r="K206" i="4"/>
  <c r="N205" i="4"/>
  <c r="M205" i="4"/>
  <c r="L205" i="4"/>
  <c r="K205" i="4"/>
  <c r="N204" i="4"/>
  <c r="M204" i="4"/>
  <c r="L204" i="4"/>
  <c r="K204" i="4"/>
  <c r="N203" i="4"/>
  <c r="M203" i="4"/>
  <c r="L203" i="4"/>
  <c r="K203" i="4"/>
  <c r="O203" i="4" s="1"/>
  <c r="N202" i="4"/>
  <c r="M202" i="4"/>
  <c r="L202" i="4"/>
  <c r="K202" i="4"/>
  <c r="N201" i="4"/>
  <c r="M201" i="4"/>
  <c r="L201" i="4"/>
  <c r="K201" i="4"/>
  <c r="N200" i="4"/>
  <c r="M200" i="4"/>
  <c r="L200" i="4"/>
  <c r="K200" i="4"/>
  <c r="N199" i="4"/>
  <c r="M199" i="4"/>
  <c r="L199" i="4"/>
  <c r="K199" i="4"/>
  <c r="O199" i="4" s="1"/>
  <c r="N198" i="4"/>
  <c r="M198" i="4"/>
  <c r="L198" i="4"/>
  <c r="K198" i="4"/>
  <c r="N197" i="4"/>
  <c r="M197" i="4"/>
  <c r="L197" i="4"/>
  <c r="K197" i="4"/>
  <c r="N196" i="4"/>
  <c r="M196" i="4"/>
  <c r="L196" i="4"/>
  <c r="K196" i="4"/>
  <c r="N195" i="4"/>
  <c r="M195" i="4"/>
  <c r="L195" i="4"/>
  <c r="K195" i="4"/>
  <c r="O195" i="4" s="1"/>
  <c r="N194" i="4"/>
  <c r="M194" i="4"/>
  <c r="L194" i="4"/>
  <c r="K194" i="4"/>
  <c r="N193" i="4"/>
  <c r="M193" i="4"/>
  <c r="L193" i="4"/>
  <c r="K193" i="4"/>
  <c r="N192" i="4"/>
  <c r="M192" i="4"/>
  <c r="L192" i="4"/>
  <c r="K192" i="4"/>
  <c r="N191" i="4"/>
  <c r="M191" i="4"/>
  <c r="L191" i="4"/>
  <c r="K191" i="4"/>
  <c r="O191" i="4" s="1"/>
  <c r="N190" i="4"/>
  <c r="M190" i="4"/>
  <c r="L190" i="4"/>
  <c r="K190" i="4"/>
  <c r="N189" i="4"/>
  <c r="M189" i="4"/>
  <c r="L189" i="4"/>
  <c r="K189" i="4"/>
  <c r="N188" i="4"/>
  <c r="M188" i="4"/>
  <c r="L188" i="4"/>
  <c r="K188" i="4"/>
  <c r="N187" i="4"/>
  <c r="M187" i="4"/>
  <c r="L187" i="4"/>
  <c r="K187" i="4"/>
  <c r="O187" i="4" s="1"/>
  <c r="N186" i="4"/>
  <c r="M186" i="4"/>
  <c r="L186" i="4"/>
  <c r="K186" i="4"/>
  <c r="N185" i="4"/>
  <c r="M185" i="4"/>
  <c r="L185" i="4"/>
  <c r="K185" i="4"/>
  <c r="N184" i="4"/>
  <c r="M184" i="4"/>
  <c r="L184" i="4"/>
  <c r="K184" i="4"/>
  <c r="N183" i="4"/>
  <c r="M183" i="4"/>
  <c r="L183" i="4"/>
  <c r="K183" i="4"/>
  <c r="O183" i="4" s="1"/>
  <c r="N182" i="4"/>
  <c r="M182" i="4"/>
  <c r="L182" i="4"/>
  <c r="K182" i="4"/>
  <c r="N181" i="4"/>
  <c r="M181" i="4"/>
  <c r="L181" i="4"/>
  <c r="K181" i="4"/>
  <c r="N180" i="4"/>
  <c r="M180" i="4"/>
  <c r="L180" i="4"/>
  <c r="K180" i="4"/>
  <c r="N179" i="4"/>
  <c r="M179" i="4"/>
  <c r="L179" i="4"/>
  <c r="K179" i="4"/>
  <c r="O179" i="4" s="1"/>
  <c r="N178" i="4"/>
  <c r="M178" i="4"/>
  <c r="L178" i="4"/>
  <c r="K178" i="4"/>
  <c r="N177" i="4"/>
  <c r="M177" i="4"/>
  <c r="L177" i="4"/>
  <c r="K177" i="4"/>
  <c r="N176" i="4"/>
  <c r="M176" i="4"/>
  <c r="L176" i="4"/>
  <c r="K176" i="4"/>
  <c r="N175" i="4"/>
  <c r="M175" i="4"/>
  <c r="L175" i="4"/>
  <c r="K175" i="4"/>
  <c r="O175" i="4" s="1"/>
  <c r="N174" i="4"/>
  <c r="M174" i="4"/>
  <c r="L174" i="4"/>
  <c r="K174" i="4"/>
  <c r="N173" i="4"/>
  <c r="M173" i="4"/>
  <c r="L173" i="4"/>
  <c r="K173" i="4"/>
  <c r="N172" i="4"/>
  <c r="M172" i="4"/>
  <c r="L172" i="4"/>
  <c r="K172" i="4"/>
  <c r="N171" i="4"/>
  <c r="M171" i="4"/>
  <c r="L171" i="4"/>
  <c r="K171" i="4"/>
  <c r="O171" i="4" s="1"/>
  <c r="N170" i="4"/>
  <c r="M170" i="4"/>
  <c r="L170" i="4"/>
  <c r="K170" i="4"/>
  <c r="N169" i="4"/>
  <c r="M169" i="4"/>
  <c r="L169" i="4"/>
  <c r="K169" i="4"/>
  <c r="N168" i="4"/>
  <c r="M168" i="4"/>
  <c r="L168" i="4"/>
  <c r="K168" i="4"/>
  <c r="N167" i="4"/>
  <c r="M167" i="4"/>
  <c r="L167" i="4"/>
  <c r="K167" i="4"/>
  <c r="O167" i="4" s="1"/>
  <c r="N166" i="4"/>
  <c r="M166" i="4"/>
  <c r="L166" i="4"/>
  <c r="K166" i="4"/>
  <c r="N165" i="4"/>
  <c r="M165" i="4"/>
  <c r="L165" i="4"/>
  <c r="K165" i="4"/>
  <c r="N164" i="4"/>
  <c r="M164" i="4"/>
  <c r="L164" i="4"/>
  <c r="K164" i="4"/>
  <c r="N163" i="4"/>
  <c r="M163" i="4"/>
  <c r="L163" i="4"/>
  <c r="K163" i="4"/>
  <c r="O163" i="4" s="1"/>
  <c r="N162" i="4"/>
  <c r="M162" i="4"/>
  <c r="L162" i="4"/>
  <c r="K162" i="4"/>
  <c r="N161" i="4"/>
  <c r="M161" i="4"/>
  <c r="L161" i="4"/>
  <c r="K161" i="4"/>
  <c r="N160" i="4"/>
  <c r="M160" i="4"/>
  <c r="L160" i="4"/>
  <c r="K160" i="4"/>
  <c r="N159" i="4"/>
  <c r="M159" i="4"/>
  <c r="L159" i="4"/>
  <c r="K159" i="4"/>
  <c r="O159" i="4" s="1"/>
  <c r="N158" i="4"/>
  <c r="M158" i="4"/>
  <c r="L158" i="4"/>
  <c r="K158" i="4"/>
  <c r="N157" i="4"/>
  <c r="M157" i="4"/>
  <c r="L157" i="4"/>
  <c r="K157" i="4"/>
  <c r="N156" i="4"/>
  <c r="M156" i="4"/>
  <c r="L156" i="4"/>
  <c r="K156" i="4"/>
  <c r="N155" i="4"/>
  <c r="M155" i="4"/>
  <c r="L155" i="4"/>
  <c r="K155" i="4"/>
  <c r="O155" i="4" s="1"/>
  <c r="N154" i="4"/>
  <c r="M154" i="4"/>
  <c r="L154" i="4"/>
  <c r="K154" i="4"/>
  <c r="N153" i="4"/>
  <c r="M153" i="4"/>
  <c r="L153" i="4"/>
  <c r="K153" i="4"/>
  <c r="N152" i="4"/>
  <c r="M152" i="4"/>
  <c r="L152" i="4"/>
  <c r="K152" i="4"/>
  <c r="N151" i="4"/>
  <c r="M151" i="4"/>
  <c r="L151" i="4"/>
  <c r="K151" i="4"/>
  <c r="O151" i="4" s="1"/>
  <c r="N150" i="4"/>
  <c r="M150" i="4"/>
  <c r="L150" i="4"/>
  <c r="K150" i="4"/>
  <c r="N149" i="4"/>
  <c r="M149" i="4"/>
  <c r="L149" i="4"/>
  <c r="K149" i="4"/>
  <c r="N148" i="4"/>
  <c r="M148" i="4"/>
  <c r="L148" i="4"/>
  <c r="K148" i="4"/>
  <c r="N147" i="4"/>
  <c r="M147" i="4"/>
  <c r="L147" i="4"/>
  <c r="K147" i="4"/>
  <c r="O147" i="4" s="1"/>
  <c r="N146" i="4"/>
  <c r="M146" i="4"/>
  <c r="L146" i="4"/>
  <c r="K146" i="4"/>
  <c r="N145" i="4"/>
  <c r="M145" i="4"/>
  <c r="L145" i="4"/>
  <c r="K145" i="4"/>
  <c r="N144" i="4"/>
  <c r="M144" i="4"/>
  <c r="L144" i="4"/>
  <c r="K144" i="4"/>
  <c r="N143" i="4"/>
  <c r="M143" i="4"/>
  <c r="L143" i="4"/>
  <c r="K143" i="4"/>
  <c r="O143" i="4" s="1"/>
  <c r="N142" i="4"/>
  <c r="M142" i="4"/>
  <c r="L142" i="4"/>
  <c r="K142" i="4"/>
  <c r="N141" i="4"/>
  <c r="M141" i="4"/>
  <c r="L141" i="4"/>
  <c r="K141" i="4"/>
  <c r="N140" i="4"/>
  <c r="M140" i="4"/>
  <c r="L140" i="4"/>
  <c r="K140" i="4"/>
  <c r="N139" i="4"/>
  <c r="M139" i="4"/>
  <c r="L139" i="4"/>
  <c r="K139" i="4"/>
  <c r="O139" i="4" s="1"/>
  <c r="N138" i="4"/>
  <c r="M138" i="4"/>
  <c r="L138" i="4"/>
  <c r="K138" i="4"/>
  <c r="N137" i="4"/>
  <c r="M137" i="4"/>
  <c r="L137" i="4"/>
  <c r="K137" i="4"/>
  <c r="N136" i="4"/>
  <c r="M136" i="4"/>
  <c r="L136" i="4"/>
  <c r="K136" i="4"/>
  <c r="N135" i="4"/>
  <c r="M135" i="4"/>
  <c r="L135" i="4"/>
  <c r="K135" i="4"/>
  <c r="O135" i="4" s="1"/>
  <c r="N134" i="4"/>
  <c r="M134" i="4"/>
  <c r="L134" i="4"/>
  <c r="K134" i="4"/>
  <c r="N133" i="4"/>
  <c r="M133" i="4"/>
  <c r="L133" i="4"/>
  <c r="K133" i="4"/>
  <c r="N132" i="4"/>
  <c r="M132" i="4"/>
  <c r="L132" i="4"/>
  <c r="K132" i="4"/>
  <c r="N131" i="4"/>
  <c r="M131" i="4"/>
  <c r="L131" i="4"/>
  <c r="K131" i="4"/>
  <c r="O131" i="4" s="1"/>
  <c r="N130" i="4"/>
  <c r="M130" i="4"/>
  <c r="L130" i="4"/>
  <c r="K130" i="4"/>
  <c r="N129" i="4"/>
  <c r="M129" i="4"/>
  <c r="L129" i="4"/>
  <c r="K129" i="4"/>
  <c r="N128" i="4"/>
  <c r="M128" i="4"/>
  <c r="L128" i="4"/>
  <c r="K128" i="4"/>
  <c r="N127" i="4"/>
  <c r="M127" i="4"/>
  <c r="L127" i="4"/>
  <c r="K127" i="4"/>
  <c r="O127" i="4" s="1"/>
  <c r="N126" i="4"/>
  <c r="M126" i="4"/>
  <c r="L126" i="4"/>
  <c r="K126" i="4"/>
  <c r="N125" i="4"/>
  <c r="M125" i="4"/>
  <c r="L125" i="4"/>
  <c r="K125" i="4"/>
  <c r="N124" i="4"/>
  <c r="M124" i="4"/>
  <c r="L124" i="4"/>
  <c r="K124" i="4"/>
  <c r="N123" i="4"/>
  <c r="M123" i="4"/>
  <c r="L123" i="4"/>
  <c r="K123" i="4"/>
  <c r="O123" i="4" s="1"/>
  <c r="N122" i="4"/>
  <c r="M122" i="4"/>
  <c r="L122" i="4"/>
  <c r="K122" i="4"/>
  <c r="N121" i="4"/>
  <c r="M121" i="4"/>
  <c r="L121" i="4"/>
  <c r="K121" i="4"/>
  <c r="N120" i="4"/>
  <c r="M120" i="4"/>
  <c r="L120" i="4"/>
  <c r="K120" i="4"/>
  <c r="N119" i="4"/>
  <c r="M119" i="4"/>
  <c r="L119" i="4"/>
  <c r="K119" i="4"/>
  <c r="O119" i="4" s="1"/>
  <c r="N118" i="4"/>
  <c r="M118" i="4"/>
  <c r="L118" i="4"/>
  <c r="K118" i="4"/>
  <c r="N117" i="4"/>
  <c r="M117" i="4"/>
  <c r="L117" i="4"/>
  <c r="K117" i="4"/>
  <c r="N116" i="4"/>
  <c r="M116" i="4"/>
  <c r="L116" i="4"/>
  <c r="K116" i="4"/>
  <c r="N115" i="4"/>
  <c r="M115" i="4"/>
  <c r="L115" i="4"/>
  <c r="K115" i="4"/>
  <c r="O115" i="4" s="1"/>
  <c r="N114" i="4"/>
  <c r="M114" i="4"/>
  <c r="L114" i="4"/>
  <c r="K114" i="4"/>
  <c r="N113" i="4"/>
  <c r="M113" i="4"/>
  <c r="L113" i="4"/>
  <c r="K113" i="4"/>
  <c r="N112" i="4"/>
  <c r="M112" i="4"/>
  <c r="L112" i="4"/>
  <c r="K112" i="4"/>
  <c r="N111" i="4"/>
  <c r="M111" i="4"/>
  <c r="L111" i="4"/>
  <c r="K111" i="4"/>
  <c r="O111" i="4" s="1"/>
  <c r="N110" i="4"/>
  <c r="M110" i="4"/>
  <c r="L110" i="4"/>
  <c r="K110" i="4"/>
  <c r="O110" i="4" s="1"/>
  <c r="N109" i="4"/>
  <c r="M109" i="4"/>
  <c r="L109" i="4"/>
  <c r="K109" i="4"/>
  <c r="N108" i="4"/>
  <c r="M108" i="4"/>
  <c r="L108" i="4"/>
  <c r="K108" i="4"/>
  <c r="N107" i="4"/>
  <c r="M107" i="4"/>
  <c r="L107" i="4"/>
  <c r="K107" i="4"/>
  <c r="O107" i="4" s="1"/>
  <c r="N106" i="4"/>
  <c r="M106" i="4"/>
  <c r="L106" i="4"/>
  <c r="K106" i="4"/>
  <c r="O106" i="4" s="1"/>
  <c r="N105" i="4"/>
  <c r="M105" i="4"/>
  <c r="L105" i="4"/>
  <c r="K105" i="4"/>
  <c r="N104" i="4"/>
  <c r="M104" i="4"/>
  <c r="L104" i="4"/>
  <c r="K104" i="4"/>
  <c r="N103" i="4"/>
  <c r="M103" i="4"/>
  <c r="L103" i="4"/>
  <c r="K103" i="4"/>
  <c r="O103" i="4" s="1"/>
  <c r="N102" i="4"/>
  <c r="M102" i="4"/>
  <c r="L102" i="4"/>
  <c r="K102" i="4"/>
  <c r="O102" i="4" s="1"/>
  <c r="N101" i="4"/>
  <c r="M101" i="4"/>
  <c r="L101" i="4"/>
  <c r="K101" i="4"/>
  <c r="N100" i="4"/>
  <c r="M100" i="4"/>
  <c r="L100" i="4"/>
  <c r="K100" i="4"/>
  <c r="N99" i="4"/>
  <c r="M99" i="4"/>
  <c r="L99" i="4"/>
  <c r="K99" i="4"/>
  <c r="O99" i="4" s="1"/>
  <c r="N98" i="4"/>
  <c r="M98" i="4"/>
  <c r="L98" i="4"/>
  <c r="K98" i="4"/>
  <c r="O98" i="4" s="1"/>
  <c r="N97" i="4"/>
  <c r="M97" i="4"/>
  <c r="L97" i="4"/>
  <c r="K97" i="4"/>
  <c r="N96" i="4"/>
  <c r="M96" i="4"/>
  <c r="L96" i="4"/>
  <c r="K96" i="4"/>
  <c r="N95" i="4"/>
  <c r="M95" i="4"/>
  <c r="L95" i="4"/>
  <c r="K95" i="4"/>
  <c r="O95" i="4" s="1"/>
  <c r="N94" i="4"/>
  <c r="M94" i="4"/>
  <c r="L94" i="4"/>
  <c r="K94" i="4"/>
  <c r="O94" i="4" s="1"/>
  <c r="N93" i="4"/>
  <c r="M93" i="4"/>
  <c r="L93" i="4"/>
  <c r="K93" i="4"/>
  <c r="N92" i="4"/>
  <c r="M92" i="4"/>
  <c r="L92" i="4"/>
  <c r="K92" i="4"/>
  <c r="N91" i="4"/>
  <c r="M91" i="4"/>
  <c r="L91" i="4"/>
  <c r="K91" i="4"/>
  <c r="O91" i="4" s="1"/>
  <c r="N90" i="4"/>
  <c r="M90" i="4"/>
  <c r="L90" i="4"/>
  <c r="K90" i="4"/>
  <c r="O90" i="4" s="1"/>
  <c r="N89" i="4"/>
  <c r="M89" i="4"/>
  <c r="L89" i="4"/>
  <c r="K89" i="4"/>
  <c r="N88" i="4"/>
  <c r="M88" i="4"/>
  <c r="L88" i="4"/>
  <c r="K88" i="4"/>
  <c r="N87" i="4"/>
  <c r="M87" i="4"/>
  <c r="L87" i="4"/>
  <c r="K87" i="4"/>
  <c r="O87" i="4" s="1"/>
  <c r="N86" i="4"/>
  <c r="M86" i="4"/>
  <c r="L86" i="4"/>
  <c r="K86" i="4"/>
  <c r="O86" i="4" s="1"/>
  <c r="N85" i="4"/>
  <c r="M85" i="4"/>
  <c r="L85" i="4"/>
  <c r="K85" i="4"/>
  <c r="N84" i="4"/>
  <c r="M84" i="4"/>
  <c r="L84" i="4"/>
  <c r="K84" i="4"/>
  <c r="N83" i="4"/>
  <c r="M83" i="4"/>
  <c r="L83" i="4"/>
  <c r="K83" i="4"/>
  <c r="O83" i="4" s="1"/>
  <c r="N82" i="4"/>
  <c r="M82" i="4"/>
  <c r="L82" i="4"/>
  <c r="K82" i="4"/>
  <c r="O82" i="4" s="1"/>
  <c r="N81" i="4"/>
  <c r="M81" i="4"/>
  <c r="L81" i="4"/>
  <c r="K81" i="4"/>
  <c r="N80" i="4"/>
  <c r="M80" i="4"/>
  <c r="L80" i="4"/>
  <c r="K80" i="4"/>
  <c r="N79" i="4"/>
  <c r="M79" i="4"/>
  <c r="L79" i="4"/>
  <c r="K79" i="4"/>
  <c r="O79" i="4" s="1"/>
  <c r="N78" i="4"/>
  <c r="M78" i="4"/>
  <c r="L78" i="4"/>
  <c r="K78" i="4"/>
  <c r="O78" i="4" s="1"/>
  <c r="N77" i="4"/>
  <c r="M77" i="4"/>
  <c r="L77" i="4"/>
  <c r="K77" i="4"/>
  <c r="N76" i="4"/>
  <c r="M76" i="4"/>
  <c r="L76" i="4"/>
  <c r="K76" i="4"/>
  <c r="N75" i="4"/>
  <c r="M75" i="4"/>
  <c r="L75" i="4"/>
  <c r="K75" i="4"/>
  <c r="O75" i="4" s="1"/>
  <c r="N74" i="4"/>
  <c r="M74" i="4"/>
  <c r="L74" i="4"/>
  <c r="K74" i="4"/>
  <c r="O74" i="4" s="1"/>
  <c r="N73" i="4"/>
  <c r="M73" i="4"/>
  <c r="L73" i="4"/>
  <c r="K73" i="4"/>
  <c r="N72" i="4"/>
  <c r="M72" i="4"/>
  <c r="L72" i="4"/>
  <c r="K72" i="4"/>
  <c r="N71" i="4"/>
  <c r="M71" i="4"/>
  <c r="L71" i="4"/>
  <c r="K71" i="4"/>
  <c r="O71" i="4" s="1"/>
  <c r="N70" i="4"/>
  <c r="M70" i="4"/>
  <c r="L70" i="4"/>
  <c r="K70" i="4"/>
  <c r="O70" i="4" s="1"/>
  <c r="N69" i="4"/>
  <c r="M69" i="4"/>
  <c r="L69" i="4"/>
  <c r="K69" i="4"/>
  <c r="N68" i="4"/>
  <c r="M68" i="4"/>
  <c r="L68" i="4"/>
  <c r="K68" i="4"/>
  <c r="N67" i="4"/>
  <c r="M67" i="4"/>
  <c r="L67" i="4"/>
  <c r="K67" i="4"/>
  <c r="O67" i="4" s="1"/>
  <c r="N66" i="4"/>
  <c r="M66" i="4"/>
  <c r="L66" i="4"/>
  <c r="K66" i="4"/>
  <c r="O66" i="4" s="1"/>
  <c r="N65" i="4"/>
  <c r="M65" i="4"/>
  <c r="L65" i="4"/>
  <c r="K65" i="4"/>
  <c r="N64" i="4"/>
  <c r="M64" i="4"/>
  <c r="L64" i="4"/>
  <c r="K64" i="4"/>
  <c r="N63" i="4"/>
  <c r="M63" i="4"/>
  <c r="L63" i="4"/>
  <c r="K63" i="4"/>
  <c r="O63" i="4" s="1"/>
  <c r="N62" i="4"/>
  <c r="M62" i="4"/>
  <c r="L62" i="4"/>
  <c r="K62" i="4"/>
  <c r="O62" i="4" s="1"/>
  <c r="N61" i="4"/>
  <c r="M61" i="4"/>
  <c r="L61" i="4"/>
  <c r="K61" i="4"/>
  <c r="N60" i="4"/>
  <c r="M60" i="4"/>
  <c r="L60" i="4"/>
  <c r="K60" i="4"/>
  <c r="N59" i="4"/>
  <c r="M59" i="4"/>
  <c r="L59" i="4"/>
  <c r="K59" i="4"/>
  <c r="O59" i="4" s="1"/>
  <c r="N58" i="4"/>
  <c r="M58" i="4"/>
  <c r="L58" i="4"/>
  <c r="K58" i="4"/>
  <c r="O58" i="4" s="1"/>
  <c r="N57" i="4"/>
  <c r="M57" i="4"/>
  <c r="L57" i="4"/>
  <c r="K57" i="4"/>
  <c r="N56" i="4"/>
  <c r="M56" i="4"/>
  <c r="L56" i="4"/>
  <c r="K56" i="4"/>
  <c r="N55" i="4"/>
  <c r="M55" i="4"/>
  <c r="L55" i="4"/>
  <c r="K55" i="4"/>
  <c r="O55" i="4" s="1"/>
  <c r="N54" i="4"/>
  <c r="M54" i="4"/>
  <c r="L54" i="4"/>
  <c r="K54" i="4"/>
  <c r="O54" i="4" s="1"/>
  <c r="N53" i="4"/>
  <c r="M53" i="4"/>
  <c r="L53" i="4"/>
  <c r="K53" i="4"/>
  <c r="N52" i="4"/>
  <c r="M52" i="4"/>
  <c r="L52" i="4"/>
  <c r="K52" i="4"/>
  <c r="N51" i="4"/>
  <c r="M51" i="4"/>
  <c r="L51" i="4"/>
  <c r="K51" i="4"/>
  <c r="O51" i="4" s="1"/>
  <c r="N50" i="4"/>
  <c r="M50" i="4"/>
  <c r="L50" i="4"/>
  <c r="K50" i="4"/>
  <c r="O50" i="4" s="1"/>
  <c r="N49" i="4"/>
  <c r="M49" i="4"/>
  <c r="L49" i="4"/>
  <c r="K49" i="4"/>
  <c r="N48" i="4"/>
  <c r="M48" i="4"/>
  <c r="L48" i="4"/>
  <c r="K48" i="4"/>
  <c r="N47" i="4"/>
  <c r="M47" i="4"/>
  <c r="L47" i="4"/>
  <c r="K47" i="4"/>
  <c r="O47" i="4" s="1"/>
  <c r="N46" i="4"/>
  <c r="M46" i="4"/>
  <c r="L46" i="4"/>
  <c r="K46" i="4"/>
  <c r="O46" i="4" s="1"/>
  <c r="N45" i="4"/>
  <c r="M45" i="4"/>
  <c r="L45" i="4"/>
  <c r="K45" i="4"/>
  <c r="N44" i="4"/>
  <c r="M44" i="4"/>
  <c r="L44" i="4"/>
  <c r="K44" i="4"/>
  <c r="N43" i="4"/>
  <c r="M43" i="4"/>
  <c r="L43" i="4"/>
  <c r="K43" i="4"/>
  <c r="O43" i="4" s="1"/>
  <c r="N42" i="4"/>
  <c r="M42" i="4"/>
  <c r="L42" i="4"/>
  <c r="K42" i="4"/>
  <c r="O42" i="4" s="1"/>
  <c r="N41" i="4"/>
  <c r="M41" i="4"/>
  <c r="L41" i="4"/>
  <c r="K41" i="4"/>
  <c r="N40" i="4"/>
  <c r="M40" i="4"/>
  <c r="L40" i="4"/>
  <c r="K40" i="4"/>
  <c r="N39" i="4"/>
  <c r="M39" i="4"/>
  <c r="L39" i="4"/>
  <c r="K39" i="4"/>
  <c r="O39" i="4" s="1"/>
  <c r="N38" i="4"/>
  <c r="M38" i="4"/>
  <c r="L38" i="4"/>
  <c r="K38" i="4"/>
  <c r="O38" i="4" s="1"/>
  <c r="N37" i="4"/>
  <c r="M37" i="4"/>
  <c r="L37" i="4"/>
  <c r="K37" i="4"/>
  <c r="N36" i="4"/>
  <c r="M36" i="4"/>
  <c r="L36" i="4"/>
  <c r="K36" i="4"/>
  <c r="N35" i="4"/>
  <c r="M35" i="4"/>
  <c r="L35" i="4"/>
  <c r="K35" i="4"/>
  <c r="O35" i="4" s="1"/>
  <c r="N34" i="4"/>
  <c r="M34" i="4"/>
  <c r="L34" i="4"/>
  <c r="K34" i="4"/>
  <c r="O34" i="4" s="1"/>
  <c r="N33" i="4"/>
  <c r="M33" i="4"/>
  <c r="L33" i="4"/>
  <c r="K33" i="4"/>
  <c r="N32" i="4"/>
  <c r="M32" i="4"/>
  <c r="L32" i="4"/>
  <c r="K32" i="4"/>
  <c r="N31" i="4"/>
  <c r="M31" i="4"/>
  <c r="L31" i="4"/>
  <c r="K31" i="4"/>
  <c r="N30" i="4"/>
  <c r="M30" i="4"/>
  <c r="L30" i="4"/>
  <c r="K30" i="4"/>
  <c r="N29" i="4"/>
  <c r="M29" i="4"/>
  <c r="L29" i="4"/>
  <c r="K29" i="4"/>
  <c r="N28" i="4"/>
  <c r="M28" i="4"/>
  <c r="L28" i="4"/>
  <c r="K28" i="4"/>
  <c r="N27" i="4"/>
  <c r="M27" i="4"/>
  <c r="L27" i="4"/>
  <c r="K27" i="4"/>
  <c r="O27" i="4" s="1"/>
  <c r="N26" i="4"/>
  <c r="M26" i="4"/>
  <c r="L26" i="4"/>
  <c r="K26" i="4"/>
  <c r="O26" i="4" s="1"/>
  <c r="N25" i="4"/>
  <c r="M25" i="4"/>
  <c r="L25" i="4"/>
  <c r="K25" i="4"/>
  <c r="N24" i="4"/>
  <c r="M24" i="4"/>
  <c r="L24" i="4"/>
  <c r="K24" i="4"/>
  <c r="N23" i="4"/>
  <c r="M23" i="4"/>
  <c r="L23" i="4"/>
  <c r="K23" i="4"/>
  <c r="N22" i="4"/>
  <c r="M22" i="4"/>
  <c r="L22" i="4"/>
  <c r="K22" i="4"/>
  <c r="N21" i="4"/>
  <c r="M21" i="4"/>
  <c r="L21" i="4"/>
  <c r="K21" i="4"/>
  <c r="N20" i="4"/>
  <c r="M20" i="4"/>
  <c r="L20" i="4"/>
  <c r="K20" i="4"/>
  <c r="N19" i="4"/>
  <c r="M19" i="4"/>
  <c r="L19" i="4"/>
  <c r="K19" i="4"/>
  <c r="O19" i="4" s="1"/>
  <c r="N18" i="4"/>
  <c r="M18" i="4"/>
  <c r="L18" i="4"/>
  <c r="K18" i="4"/>
  <c r="O18" i="4" s="1"/>
  <c r="N17" i="4"/>
  <c r="M17" i="4"/>
  <c r="L17" i="4"/>
  <c r="K17" i="4"/>
  <c r="N16" i="4"/>
  <c r="M16" i="4"/>
  <c r="L16" i="4"/>
  <c r="K16" i="4"/>
  <c r="N15" i="4"/>
  <c r="M15" i="4"/>
  <c r="L15" i="4"/>
  <c r="K15" i="4"/>
  <c r="N14" i="4"/>
  <c r="M14" i="4"/>
  <c r="L14" i="4"/>
  <c r="K14" i="4"/>
  <c r="O14" i="4" s="1"/>
  <c r="N13" i="4"/>
  <c r="M13" i="4"/>
  <c r="L13" i="4"/>
  <c r="K13" i="4"/>
  <c r="N12" i="4"/>
  <c r="M12" i="4"/>
  <c r="L12" i="4"/>
  <c r="K12" i="4"/>
  <c r="N11" i="4"/>
  <c r="M11" i="4"/>
  <c r="L11" i="4"/>
  <c r="K11" i="4"/>
  <c r="N10" i="4"/>
  <c r="M10" i="4"/>
  <c r="L10" i="4"/>
  <c r="K10" i="4"/>
  <c r="O10" i="4" s="1"/>
  <c r="N9" i="4"/>
  <c r="M9" i="4"/>
  <c r="L9" i="4"/>
  <c r="K9" i="4"/>
  <c r="N8" i="4"/>
  <c r="M8" i="4"/>
  <c r="L8" i="4"/>
  <c r="K8" i="4"/>
  <c r="N7" i="4"/>
  <c r="M7" i="4"/>
  <c r="L7" i="4"/>
  <c r="K7" i="4"/>
  <c r="N6" i="4"/>
  <c r="M6" i="4"/>
  <c r="L6" i="4"/>
  <c r="K6" i="4"/>
  <c r="O6" i="4" s="1"/>
  <c r="N5" i="4"/>
  <c r="M5" i="4"/>
  <c r="L5" i="4"/>
  <c r="K5" i="4"/>
  <c r="N4" i="4"/>
  <c r="M4" i="4"/>
  <c r="L4" i="4"/>
  <c r="K4" i="4"/>
  <c r="O425" i="4" l="1"/>
  <c r="O739" i="4"/>
  <c r="O743" i="4"/>
  <c r="O747" i="4"/>
  <c r="O751" i="4"/>
  <c r="O755" i="4"/>
  <c r="O759" i="4"/>
  <c r="O763" i="4"/>
  <c r="O767" i="4"/>
  <c r="O771" i="4"/>
  <c r="O775" i="4"/>
  <c r="O779" i="4"/>
  <c r="O783" i="4"/>
  <c r="O787" i="4"/>
  <c r="O791" i="4"/>
  <c r="O795" i="4"/>
  <c r="O799" i="4"/>
  <c r="O803" i="4"/>
  <c r="O807" i="4"/>
  <c r="O811" i="4"/>
  <c r="O815" i="4"/>
  <c r="O819" i="4"/>
  <c r="O823" i="4"/>
  <c r="O827" i="4"/>
  <c r="O831" i="4"/>
  <c r="O835" i="4"/>
  <c r="O839" i="4"/>
  <c r="O843" i="4"/>
  <c r="O847" i="4"/>
  <c r="O851" i="4"/>
  <c r="O855" i="4"/>
  <c r="O859" i="4"/>
  <c r="O863" i="4"/>
  <c r="O867" i="4"/>
  <c r="O871" i="4"/>
  <c r="O875" i="4"/>
  <c r="O879" i="4"/>
  <c r="O883" i="4"/>
  <c r="O887" i="4"/>
  <c r="O891" i="4"/>
  <c r="O895" i="4"/>
  <c r="O899" i="4"/>
  <c r="O902" i="4"/>
  <c r="O903" i="4"/>
  <c r="O907" i="4"/>
  <c r="O911" i="4"/>
  <c r="O914" i="4"/>
  <c r="O915" i="4"/>
  <c r="O918" i="4"/>
  <c r="O48" i="4"/>
  <c r="O337" i="4"/>
  <c r="O424" i="4"/>
  <c r="O457" i="4"/>
  <c r="O352" i="4"/>
  <c r="O456" i="4"/>
  <c r="O377" i="4"/>
  <c r="O550" i="4"/>
  <c r="O8" i="4"/>
  <c r="O60" i="4"/>
  <c r="O92" i="4"/>
  <c r="O353" i="4"/>
  <c r="O458" i="4"/>
  <c r="O481" i="4"/>
  <c r="O548" i="4"/>
  <c r="O551" i="4"/>
  <c r="O4" i="4"/>
  <c r="O5" i="4"/>
  <c r="O15" i="4"/>
  <c r="O16" i="4"/>
  <c r="O17" i="4"/>
  <c r="O56" i="4"/>
  <c r="O57" i="4"/>
  <c r="O88" i="4"/>
  <c r="O89" i="4"/>
  <c r="O124" i="4"/>
  <c r="O125" i="4"/>
  <c r="O126" i="4"/>
  <c r="O344" i="4"/>
  <c r="O345" i="4"/>
  <c r="O346" i="4"/>
  <c r="O373" i="4"/>
  <c r="O374" i="4"/>
  <c r="O416" i="4"/>
  <c r="O417" i="4"/>
  <c r="O418" i="4"/>
  <c r="O448" i="4"/>
  <c r="O449" i="4"/>
  <c r="O450" i="4"/>
  <c r="O497" i="4"/>
  <c r="O498" i="4"/>
  <c r="O11" i="4"/>
  <c r="O24" i="4"/>
  <c r="O25" i="4"/>
  <c r="O44" i="4"/>
  <c r="O45" i="4"/>
  <c r="O76" i="4"/>
  <c r="O77" i="4"/>
  <c r="O108" i="4"/>
  <c r="O109" i="4"/>
  <c r="O389" i="4"/>
  <c r="O390" i="4"/>
  <c r="O440" i="4"/>
  <c r="O441" i="4"/>
  <c r="O442" i="4"/>
  <c r="O513" i="4"/>
  <c r="O514" i="4"/>
  <c r="O7" i="4"/>
  <c r="O9" i="4"/>
  <c r="O61" i="4"/>
  <c r="O93" i="4"/>
  <c r="O354" i="4"/>
  <c r="O426" i="4"/>
  <c r="O482" i="4"/>
  <c r="O549" i="4"/>
  <c r="O12" i="4"/>
  <c r="O13" i="4"/>
  <c r="O23" i="4"/>
  <c r="O31" i="4"/>
  <c r="O32" i="4"/>
  <c r="O33" i="4"/>
  <c r="O40" i="4"/>
  <c r="O41" i="4"/>
  <c r="O72" i="4"/>
  <c r="O73" i="4"/>
  <c r="O104" i="4"/>
  <c r="O105" i="4"/>
  <c r="O116" i="4"/>
  <c r="O117" i="4"/>
  <c r="O118" i="4"/>
  <c r="O360" i="4"/>
  <c r="O361" i="4"/>
  <c r="O362" i="4"/>
  <c r="O405" i="4"/>
  <c r="O406" i="4"/>
  <c r="O432" i="4"/>
  <c r="O433" i="4"/>
  <c r="O434" i="4"/>
  <c r="O464" i="4"/>
  <c r="O465" i="4"/>
  <c r="O466" i="4"/>
  <c r="O529" i="4"/>
  <c r="O530" i="4"/>
  <c r="O908" i="4"/>
  <c r="O909" i="4"/>
  <c r="O910" i="4"/>
  <c r="O64" i="4"/>
  <c r="O65" i="4"/>
  <c r="O80" i="4"/>
  <c r="O81" i="4"/>
  <c r="O96" i="4"/>
  <c r="O97" i="4"/>
  <c r="O112" i="4"/>
  <c r="O121" i="4"/>
  <c r="O122" i="4"/>
  <c r="O128" i="4"/>
  <c r="O137" i="4"/>
  <c r="O138" i="4"/>
  <c r="O144" i="4"/>
  <c r="O153" i="4"/>
  <c r="O154" i="4"/>
  <c r="O160" i="4"/>
  <c r="O169" i="4"/>
  <c r="O170" i="4"/>
  <c r="O176" i="4"/>
  <c r="O185" i="4"/>
  <c r="O186" i="4"/>
  <c r="O192" i="4"/>
  <c r="O201" i="4"/>
  <c r="O202" i="4"/>
  <c r="O208" i="4"/>
  <c r="O217" i="4"/>
  <c r="O225" i="4"/>
  <c r="O226" i="4"/>
  <c r="O232" i="4"/>
  <c r="O241" i="4"/>
  <c r="O242" i="4"/>
  <c r="O248" i="4"/>
  <c r="O257" i="4"/>
  <c r="O265" i="4"/>
  <c r="O266" i="4"/>
  <c r="O272" i="4"/>
  <c r="O281" i="4"/>
  <c r="O282" i="4"/>
  <c r="O288" i="4"/>
  <c r="O297" i="4"/>
  <c r="O298" i="4"/>
  <c r="O304" i="4"/>
  <c r="O313" i="4"/>
  <c r="O314" i="4"/>
  <c r="O320" i="4"/>
  <c r="O329" i="4"/>
  <c r="O336" i="4"/>
  <c r="O338" i="4"/>
  <c r="O393" i="4"/>
  <c r="O394" i="4"/>
  <c r="O409" i="4"/>
  <c r="O410" i="4"/>
  <c r="O469" i="4"/>
  <c r="O470" i="4"/>
  <c r="O485" i="4"/>
  <c r="O486" i="4"/>
  <c r="O501" i="4"/>
  <c r="O502" i="4"/>
  <c r="O517" i="4"/>
  <c r="O518" i="4"/>
  <c r="O533" i="4"/>
  <c r="O534" i="4"/>
  <c r="O544" i="4"/>
  <c r="O545" i="4"/>
  <c r="O546" i="4"/>
  <c r="O547" i="4"/>
  <c r="O556" i="4"/>
  <c r="O557" i="4"/>
  <c r="O558" i="4"/>
  <c r="O564" i="4"/>
  <c r="O565" i="4"/>
  <c r="O566" i="4"/>
  <c r="O572" i="4"/>
  <c r="O573" i="4"/>
  <c r="O574" i="4"/>
  <c r="O580" i="4"/>
  <c r="O581" i="4"/>
  <c r="O582" i="4"/>
  <c r="O588" i="4"/>
  <c r="O589" i="4"/>
  <c r="O590" i="4"/>
  <c r="O596" i="4"/>
  <c r="O597" i="4"/>
  <c r="O598" i="4"/>
  <c r="O604" i="4"/>
  <c r="O605" i="4"/>
  <c r="O606" i="4"/>
  <c r="O612" i="4"/>
  <c r="O613" i="4"/>
  <c r="O614" i="4"/>
  <c r="O620" i="4"/>
  <c r="O621" i="4"/>
  <c r="O622" i="4"/>
  <c r="O628" i="4"/>
  <c r="O629" i="4"/>
  <c r="O630" i="4"/>
  <c r="O636" i="4"/>
  <c r="O637" i="4"/>
  <c r="O638" i="4"/>
  <c r="O644" i="4"/>
  <c r="O645" i="4"/>
  <c r="O646" i="4"/>
  <c r="O652" i="4"/>
  <c r="O653" i="4"/>
  <c r="O654" i="4"/>
  <c r="O660" i="4"/>
  <c r="O661" i="4"/>
  <c r="O662" i="4"/>
  <c r="O668" i="4"/>
  <c r="O669" i="4"/>
  <c r="O670" i="4"/>
  <c r="O676" i="4"/>
  <c r="O677" i="4"/>
  <c r="O678" i="4"/>
  <c r="O684" i="4"/>
  <c r="O685" i="4"/>
  <c r="O686" i="4"/>
  <c r="O692" i="4"/>
  <c r="O693" i="4"/>
  <c r="O694" i="4"/>
  <c r="O700" i="4"/>
  <c r="O701" i="4"/>
  <c r="O702" i="4"/>
  <c r="O708" i="4"/>
  <c r="O709" i="4"/>
  <c r="O710" i="4"/>
  <c r="O716" i="4"/>
  <c r="O717" i="4"/>
  <c r="O718" i="4"/>
  <c r="O724" i="4"/>
  <c r="O725" i="4"/>
  <c r="O726" i="4"/>
  <c r="O732" i="4"/>
  <c r="O733" i="4"/>
  <c r="O734" i="4"/>
  <c r="O740" i="4"/>
  <c r="O741" i="4"/>
  <c r="O742" i="4"/>
  <c r="O748" i="4"/>
  <c r="O749" i="4"/>
  <c r="O750" i="4"/>
  <c r="O756" i="4"/>
  <c r="O757" i="4"/>
  <c r="O758" i="4"/>
  <c r="O764" i="4"/>
  <c r="O765" i="4"/>
  <c r="O766" i="4"/>
  <c r="O772" i="4"/>
  <c r="O773" i="4"/>
  <c r="O774" i="4"/>
  <c r="O780" i="4"/>
  <c r="O781" i="4"/>
  <c r="O782" i="4"/>
  <c r="O788" i="4"/>
  <c r="O789" i="4"/>
  <c r="O790" i="4"/>
  <c r="O796" i="4"/>
  <c r="O797" i="4"/>
  <c r="O798" i="4"/>
  <c r="O804" i="4"/>
  <c r="O805" i="4"/>
  <c r="O806" i="4"/>
  <c r="O812" i="4"/>
  <c r="O813" i="4"/>
  <c r="O814" i="4"/>
  <c r="O820" i="4"/>
  <c r="O821" i="4"/>
  <c r="O822" i="4"/>
  <c r="O828" i="4"/>
  <c r="O829" i="4"/>
  <c r="O830" i="4"/>
  <c r="O836" i="4"/>
  <c r="O837" i="4"/>
  <c r="O838" i="4"/>
  <c r="O844" i="4"/>
  <c r="O845" i="4"/>
  <c r="O846" i="4"/>
  <c r="O852" i="4"/>
  <c r="O853" i="4"/>
  <c r="O854" i="4"/>
  <c r="O860" i="4"/>
  <c r="O861" i="4"/>
  <c r="O862" i="4"/>
  <c r="O868" i="4"/>
  <c r="O869" i="4"/>
  <c r="O870" i="4"/>
  <c r="O876" i="4"/>
  <c r="O877" i="4"/>
  <c r="O878" i="4"/>
  <c r="O884" i="4"/>
  <c r="O885" i="4"/>
  <c r="O886" i="4"/>
  <c r="O892" i="4"/>
  <c r="O893" i="4"/>
  <c r="O894" i="4"/>
  <c r="O900" i="4"/>
  <c r="O901" i="4"/>
  <c r="O49" i="4"/>
  <c r="O113" i="4"/>
  <c r="O114" i="4"/>
  <c r="O120" i="4"/>
  <c r="O129" i="4"/>
  <c r="O130" i="4"/>
  <c r="O136" i="4"/>
  <c r="O145" i="4"/>
  <c r="O146" i="4"/>
  <c r="O152" i="4"/>
  <c r="O161" i="4"/>
  <c r="O162" i="4"/>
  <c r="O168" i="4"/>
  <c r="O177" i="4"/>
  <c r="O178" i="4"/>
  <c r="O184" i="4"/>
  <c r="O193" i="4"/>
  <c r="O194" i="4"/>
  <c r="O200" i="4"/>
  <c r="O209" i="4"/>
  <c r="O210" i="4"/>
  <c r="O216" i="4"/>
  <c r="O218" i="4"/>
  <c r="O224" i="4"/>
  <c r="O233" i="4"/>
  <c r="O234" i="4"/>
  <c r="O240" i="4"/>
  <c r="O249" i="4"/>
  <c r="O250" i="4"/>
  <c r="O256" i="4"/>
  <c r="O258" i="4"/>
  <c r="O264" i="4"/>
  <c r="O273" i="4"/>
  <c r="O274" i="4"/>
  <c r="O280" i="4"/>
  <c r="O289" i="4"/>
  <c r="O290" i="4"/>
  <c r="O296" i="4"/>
  <c r="O305" i="4"/>
  <c r="O306" i="4"/>
  <c r="O312" i="4"/>
  <c r="O321" i="4"/>
  <c r="O322" i="4"/>
  <c r="O328" i="4"/>
  <c r="O330" i="4"/>
  <c r="O378" i="4"/>
  <c r="O20" i="4"/>
  <c r="O21" i="4"/>
  <c r="O22" i="4"/>
  <c r="O28" i="4"/>
  <c r="O29" i="4"/>
  <c r="O30" i="4"/>
  <c r="O36" i="4"/>
  <c r="O37" i="4"/>
  <c r="O52" i="4"/>
  <c r="O53" i="4"/>
  <c r="O68" i="4"/>
  <c r="O69" i="4"/>
  <c r="O84" i="4"/>
  <c r="O85" i="4"/>
  <c r="O100" i="4"/>
  <c r="O101" i="4"/>
  <c r="O341" i="4"/>
  <c r="O342" i="4"/>
  <c r="O348" i="4"/>
  <c r="O349" i="4"/>
  <c r="O350" i="4"/>
  <c r="O356" i="4"/>
  <c r="O357" i="4"/>
  <c r="O358" i="4"/>
  <c r="O364" i="4"/>
  <c r="O365" i="4"/>
  <c r="O366" i="4"/>
  <c r="O381" i="4"/>
  <c r="O382" i="4"/>
  <c r="O397" i="4"/>
  <c r="O398" i="4"/>
  <c r="O413" i="4"/>
  <c r="O414" i="4"/>
  <c r="O420" i="4"/>
  <c r="O421" i="4"/>
  <c r="O422" i="4"/>
  <c r="O428" i="4"/>
  <c r="O429" i="4"/>
  <c r="O430" i="4"/>
  <c r="O436" i="4"/>
  <c r="O437" i="4"/>
  <c r="O438" i="4"/>
  <c r="O444" i="4"/>
  <c r="O445" i="4"/>
  <c r="O446" i="4"/>
  <c r="O452" i="4"/>
  <c r="O453" i="4"/>
  <c r="O454" i="4"/>
  <c r="O460" i="4"/>
  <c r="O461" i="4"/>
  <c r="O462" i="4"/>
  <c r="O473" i="4"/>
  <c r="O474" i="4"/>
  <c r="O489" i="4"/>
  <c r="O490" i="4"/>
  <c r="O505" i="4"/>
  <c r="O506" i="4"/>
  <c r="O521" i="4"/>
  <c r="O522" i="4"/>
  <c r="O537" i="4"/>
  <c r="O538" i="4"/>
  <c r="O904" i="4"/>
  <c r="O905" i="4"/>
  <c r="O906" i="4"/>
  <c r="O912" i="4"/>
  <c r="O913" i="4"/>
  <c r="O132" i="4"/>
  <c r="O133" i="4"/>
  <c r="O134" i="4"/>
  <c r="O140" i="4"/>
  <c r="O141" i="4"/>
  <c r="O142" i="4"/>
  <c r="O148" i="4"/>
  <c r="O149" i="4"/>
  <c r="O150" i="4"/>
  <c r="O156" i="4"/>
  <c r="O157" i="4"/>
  <c r="O158" i="4"/>
  <c r="O164" i="4"/>
  <c r="O165" i="4"/>
  <c r="O166" i="4"/>
  <c r="O172" i="4"/>
  <c r="O173" i="4"/>
  <c r="O174" i="4"/>
  <c r="O180" i="4"/>
  <c r="O181" i="4"/>
  <c r="O182" i="4"/>
  <c r="O188" i="4"/>
  <c r="O189" i="4"/>
  <c r="O190" i="4"/>
  <c r="O196" i="4"/>
  <c r="O197" i="4"/>
  <c r="O198" i="4"/>
  <c r="O204" i="4"/>
  <c r="O205" i="4"/>
  <c r="O206" i="4"/>
  <c r="O212" i="4"/>
  <c r="O213" i="4"/>
  <c r="O214" i="4"/>
  <c r="O220" i="4"/>
  <c r="O221" i="4"/>
  <c r="O222" i="4"/>
  <c r="O228" i="4"/>
  <c r="O229" i="4"/>
  <c r="O230" i="4"/>
  <c r="O236" i="4"/>
  <c r="O237" i="4"/>
  <c r="O238" i="4"/>
  <c r="O244" i="4"/>
  <c r="O245" i="4"/>
  <c r="O246" i="4"/>
  <c r="O252" i="4"/>
  <c r="O253" i="4"/>
  <c r="O254" i="4"/>
  <c r="O260" i="4"/>
  <c r="O261" i="4"/>
  <c r="O262" i="4"/>
  <c r="O268" i="4"/>
  <c r="O269" i="4"/>
  <c r="O270" i="4"/>
  <c r="O276" i="4"/>
  <c r="O277" i="4"/>
  <c r="O278" i="4"/>
  <c r="O284" i="4"/>
  <c r="O285" i="4"/>
  <c r="O286" i="4"/>
  <c r="O292" i="4"/>
  <c r="O293" i="4"/>
  <c r="O294" i="4"/>
  <c r="O300" i="4"/>
  <c r="O301" i="4"/>
  <c r="O302" i="4"/>
  <c r="O308" i="4"/>
  <c r="O309" i="4"/>
  <c r="O310" i="4"/>
  <c r="O316" i="4"/>
  <c r="O317" i="4"/>
  <c r="O318" i="4"/>
  <c r="O324" i="4"/>
  <c r="O325" i="4"/>
  <c r="O326" i="4"/>
  <c r="O332" i="4"/>
  <c r="O333" i="4"/>
  <c r="O334" i="4"/>
  <c r="O369" i="4"/>
  <c r="O370" i="4"/>
  <c r="O385" i="4"/>
  <c r="O386" i="4"/>
  <c r="O401" i="4"/>
  <c r="O402" i="4"/>
  <c r="O477" i="4"/>
  <c r="O478" i="4"/>
  <c r="O493" i="4"/>
  <c r="O494" i="4"/>
  <c r="O509" i="4"/>
  <c r="O510" i="4"/>
  <c r="O525" i="4"/>
  <c r="O526" i="4"/>
  <c r="O541" i="4"/>
  <c r="O542" i="4"/>
  <c r="O552" i="4"/>
  <c r="O553" i="4"/>
  <c r="O554" i="4"/>
  <c r="O560" i="4"/>
  <c r="O561" i="4"/>
  <c r="O562" i="4"/>
  <c r="O568" i="4"/>
  <c r="O569" i="4"/>
  <c r="O570" i="4"/>
  <c r="O576" i="4"/>
  <c r="O577" i="4"/>
  <c r="O578" i="4"/>
  <c r="O584" i="4"/>
  <c r="O585" i="4"/>
  <c r="O586" i="4"/>
  <c r="O592" i="4"/>
  <c r="O593" i="4"/>
  <c r="O594" i="4"/>
  <c r="O600" i="4"/>
  <c r="O601" i="4"/>
  <c r="O602" i="4"/>
  <c r="O608" i="4"/>
  <c r="O609" i="4"/>
  <c r="O610" i="4"/>
  <c r="O616" i="4"/>
  <c r="O617" i="4"/>
  <c r="O618" i="4"/>
  <c r="O624" i="4"/>
  <c r="O625" i="4"/>
  <c r="O626" i="4"/>
  <c r="O632" i="4"/>
  <c r="O633" i="4"/>
  <c r="O634" i="4"/>
  <c r="O640" i="4"/>
  <c r="O641" i="4"/>
  <c r="O642" i="4"/>
  <c r="O648" i="4"/>
  <c r="O649" i="4"/>
  <c r="O650" i="4"/>
  <c r="O656" i="4"/>
  <c r="O657" i="4"/>
  <c r="O658" i="4"/>
  <c r="O664" i="4"/>
  <c r="O665" i="4"/>
  <c r="O666" i="4"/>
  <c r="O672" i="4"/>
  <c r="O673" i="4"/>
  <c r="O674" i="4"/>
  <c r="O680" i="4"/>
  <c r="O681" i="4"/>
  <c r="O682" i="4"/>
  <c r="O688" i="4"/>
  <c r="O689" i="4"/>
  <c r="O690" i="4"/>
  <c r="O696" i="4"/>
  <c r="O697" i="4"/>
  <c r="O698" i="4"/>
  <c r="O704" i="4"/>
  <c r="O705" i="4"/>
  <c r="O706" i="4"/>
  <c r="O712" i="4"/>
  <c r="O713" i="4"/>
  <c r="O714" i="4"/>
  <c r="O720" i="4"/>
  <c r="O721" i="4"/>
  <c r="O722" i="4"/>
  <c r="O728" i="4"/>
  <c r="O729" i="4"/>
  <c r="O730" i="4"/>
  <c r="O736" i="4"/>
  <c r="O737" i="4"/>
  <c r="O738" i="4"/>
  <c r="O744" i="4"/>
  <c r="O745" i="4"/>
  <c r="O746" i="4"/>
  <c r="O752" i="4"/>
  <c r="O753" i="4"/>
  <c r="O754" i="4"/>
  <c r="O760" i="4"/>
  <c r="O761" i="4"/>
  <c r="O762" i="4"/>
  <c r="O768" i="4"/>
  <c r="O769" i="4"/>
  <c r="O770" i="4"/>
  <c r="O776" i="4"/>
  <c r="O777" i="4"/>
  <c r="O778" i="4"/>
  <c r="O784" i="4"/>
  <c r="O785" i="4"/>
  <c r="O786" i="4"/>
  <c r="O792" i="4"/>
  <c r="O793" i="4"/>
  <c r="O794" i="4"/>
  <c r="O800" i="4"/>
  <c r="O801" i="4"/>
  <c r="O802" i="4"/>
  <c r="O808" i="4"/>
  <c r="O809" i="4"/>
  <c r="O810" i="4"/>
  <c r="O816" i="4"/>
  <c r="O817" i="4"/>
  <c r="O818" i="4"/>
  <c r="O824" i="4"/>
  <c r="O825" i="4"/>
  <c r="O826" i="4"/>
  <c r="O832" i="4"/>
  <c r="O833" i="4"/>
  <c r="O834" i="4"/>
  <c r="O840" i="4"/>
  <c r="O841" i="4"/>
  <c r="O842" i="4"/>
  <c r="O848" i="4"/>
  <c r="O849" i="4"/>
  <c r="O850" i="4"/>
  <c r="O856" i="4"/>
  <c r="O857" i="4"/>
  <c r="O858" i="4"/>
  <c r="O864" i="4"/>
  <c r="O865" i="4"/>
  <c r="O866" i="4"/>
  <c r="O872" i="4"/>
  <c r="O873" i="4"/>
  <c r="O874" i="4"/>
  <c r="O880" i="4"/>
  <c r="O881" i="4"/>
  <c r="O882" i="4"/>
  <c r="O888" i="4"/>
  <c r="O889" i="4"/>
  <c r="O890" i="4"/>
  <c r="O896" i="4"/>
  <c r="O897" i="4"/>
  <c r="O898" i="4"/>
  <c r="O916" i="4"/>
  <c r="O917" i="4"/>
  <c r="M3" i="4"/>
  <c r="N3" i="4" s="1"/>
  <c r="L3" i="4"/>
  <c r="K3" i="4"/>
  <c r="M2" i="4"/>
  <c r="N2" i="4" s="1"/>
  <c r="L2" i="4"/>
  <c r="K2" i="4"/>
  <c r="O2" i="4" s="1"/>
  <c r="O3" i="4" l="1"/>
</calcChain>
</file>

<file path=xl/sharedStrings.xml><?xml version="1.0" encoding="utf-8"?>
<sst xmlns="http://schemas.openxmlformats.org/spreadsheetml/2006/main" count="7119" uniqueCount="84">
  <si>
    <t>Name</t>
  </si>
  <si>
    <t>Age</t>
  </si>
  <si>
    <t>Salary</t>
  </si>
  <si>
    <t>Gender</t>
  </si>
  <si>
    <t>Department</t>
  </si>
  <si>
    <t>Position</t>
  </si>
  <si>
    <t>Joining Date</t>
  </si>
  <si>
    <t>Performance Score</t>
  </si>
  <si>
    <t>Phone Number</t>
  </si>
  <si>
    <t>Male</t>
  </si>
  <si>
    <t>HR</t>
  </si>
  <si>
    <t>Manager</t>
  </si>
  <si>
    <t>D</t>
  </si>
  <si>
    <t>email@example.com</t>
  </si>
  <si>
    <t>Female</t>
  </si>
  <si>
    <t>Finance</t>
  </si>
  <si>
    <t>Director</t>
  </si>
  <si>
    <t>F</t>
  </si>
  <si>
    <t>user@domain.com</t>
  </si>
  <si>
    <t>123-456-7890</t>
  </si>
  <si>
    <t>Sales</t>
  </si>
  <si>
    <t>C</t>
  </si>
  <si>
    <t>098-765-4321</t>
  </si>
  <si>
    <t>IT</t>
  </si>
  <si>
    <t>A</t>
  </si>
  <si>
    <t>name@company.org</t>
  </si>
  <si>
    <t>Other</t>
  </si>
  <si>
    <t>Marketing</t>
  </si>
  <si>
    <t>Clerk</t>
  </si>
  <si>
    <t>B</t>
  </si>
  <si>
    <t>Assistant</t>
  </si>
  <si>
    <t>Analyst</t>
  </si>
  <si>
    <t>555-555-5555</t>
  </si>
  <si>
    <t>Grace</t>
  </si>
  <si>
    <t>David</t>
  </si>
  <si>
    <t>Hannah</t>
  </si>
  <si>
    <t>Eve</t>
  </si>
  <si>
    <t>Jack</t>
  </si>
  <si>
    <t>Charlie</t>
  </si>
  <si>
    <t>Frank</t>
  </si>
  <si>
    <t>Bob</t>
  </si>
  <si>
    <t>Alice</t>
  </si>
  <si>
    <t>Ivy</t>
  </si>
  <si>
    <t>Email address</t>
  </si>
  <si>
    <t>Not Available</t>
  </si>
  <si>
    <t>Years of experience</t>
  </si>
  <si>
    <t>Salary Category</t>
  </si>
  <si>
    <t>Performance level</t>
  </si>
  <si>
    <t>PIP Status</t>
  </si>
  <si>
    <t>Promotion Eligibility</t>
  </si>
  <si>
    <t>Column Labels</t>
  </si>
  <si>
    <t>Grand Total</t>
  </si>
  <si>
    <t>Departments</t>
  </si>
  <si>
    <t>Count of Name</t>
  </si>
  <si>
    <t>No PIP</t>
  </si>
  <si>
    <t>PIP</t>
  </si>
  <si>
    <t>Eligible</t>
  </si>
  <si>
    <t>Not Eligible</t>
  </si>
  <si>
    <t>High</t>
  </si>
  <si>
    <t>Low</t>
  </si>
  <si>
    <t>Medium</t>
  </si>
  <si>
    <t>Total no. of employees as per years of experience</t>
  </si>
  <si>
    <t>Count of Performance level</t>
  </si>
  <si>
    <t>Total no. of employees in each departments and positions</t>
  </si>
  <si>
    <t xml:space="preserve">      Salary wise performance level</t>
  </si>
  <si>
    <t>&lt;6.5</t>
  </si>
  <si>
    <t>6.5-7.5</t>
  </si>
  <si>
    <t>7.5-8.5</t>
  </si>
  <si>
    <t>Department-wise Gender count</t>
  </si>
  <si>
    <t>Department-wise PIP Status</t>
  </si>
  <si>
    <t>Department-wise Promotion Eligibility</t>
  </si>
  <si>
    <t>Performance Vs PIP</t>
  </si>
  <si>
    <t>Total number of employees</t>
  </si>
  <si>
    <t>Promotion Eligibity Rate</t>
  </si>
  <si>
    <t>PIP Rate</t>
  </si>
  <si>
    <t>Department-wise Performance level</t>
  </si>
  <si>
    <t>Key Insights from HR Workforce Analysis</t>
  </si>
  <si>
    <t>• Around 39% of employees are on PIP, indicating that performance challenges are present across multiple departments.</t>
  </si>
  <si>
    <t>• Only 19% of employees are eligible for promotion, suggesting that a large portion of the workforce is not meeting promotion criteria.</t>
  </si>
  <si>
    <t>• The Sales department has the highest PIP percentage, even though it has the largest number of employees.</t>
  </si>
  <si>
    <t>• Finance stands out positively, with better performance levels, higher promotion eligibility, and relatively lower PIP rates.</t>
  </si>
  <si>
    <t>• A majority of employees fall under lower experience levels, which may be contributing to lower performance outcomes.</t>
  </si>
  <si>
    <t>• There is a visible pattern between salary and performance, where lower salary groups tend to show lower performance levels.</t>
  </si>
  <si>
    <t>• Overall, the analysis highlights the need to improve employee performance, training, and promotion readiness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</si>
</sst>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b/>
      <u/>
      <sz val="2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8"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34">
    <xf numFmtId="0" fontId="0" fillId="0" borderId="0" xfId="0"/>
    <xf numFmtId="14" fontId="0" fillId="0" borderId="0" xfId="0" applyNumberFormat="1"/>
    <xf numFmtId="0" fontId="16" fillId="0" borderId="0" xfId="0" applyFont="1"/>
    <xf numFmtId="49" fontId="16" fillId="0" borderId="0" xfId="0" applyNumberFormat="1" applyFont="1"/>
    <xf numFmtId="164" fontId="0" fillId="0" borderId="0" xfId="0" applyNumberFormat="1"/>
    <xf numFmtId="0" fontId="0" fillId="0" borderId="0" xfId="0" applyAlignment="1">
      <alignment horizontal="left"/>
    </xf>
    <xf numFmtId="0" fontId="16" fillId="33" borderId="10" xfId="0" applyFont="1" applyFill="1" applyBorder="1"/>
    <xf numFmtId="0" fontId="16" fillId="33" borderId="11" xfId="0" applyFont="1" applyFill="1" applyBorder="1" applyAlignment="1">
      <alignment horizontal="left"/>
    </xf>
    <xf numFmtId="0" fontId="16" fillId="33" borderId="11" xfId="0" applyFont="1" applyFill="1" applyBorder="1"/>
    <xf numFmtId="0" fontId="0" fillId="0" borderId="12" xfId="0" applyBorder="1"/>
    <xf numFmtId="0" fontId="0" fillId="0" borderId="12" xfId="0" applyBorder="1" applyAlignment="1">
      <alignment horizontal="left"/>
    </xf>
    <xf numFmtId="0" fontId="0" fillId="0" borderId="12" xfId="0" pivotButton="1" applyBorder="1"/>
    <xf numFmtId="164" fontId="0" fillId="0" borderId="12" xfId="0" applyNumberFormat="1" applyBorder="1" applyAlignment="1">
      <alignment horizontal="left"/>
    </xf>
    <xf numFmtId="0" fontId="17" fillId="34" borderId="0" xfId="0" applyFont="1" applyFill="1"/>
    <xf numFmtId="0" fontId="0" fillId="34" borderId="0" xfId="0" applyFill="1"/>
    <xf numFmtId="0" fontId="19" fillId="0" borderId="0" xfId="0" applyFont="1"/>
    <xf numFmtId="0" fontId="18" fillId="0" borderId="0" xfId="0" applyFont="1"/>
    <xf numFmtId="10" fontId="0" fillId="0" borderId="12" xfId="0" applyNumberFormat="1" applyBorder="1"/>
    <xf numFmtId="165" fontId="0" fillId="0" borderId="0" xfId="42" applyNumberFormat="1" applyFont="1"/>
    <xf numFmtId="0" fontId="16" fillId="0" borderId="12" xfId="0" applyFont="1" applyBorder="1"/>
    <xf numFmtId="10" fontId="0" fillId="0" borderId="12" xfId="42" applyNumberFormat="1" applyFont="1" applyBorder="1"/>
    <xf numFmtId="0" fontId="0" fillId="0" borderId="0" xfId="0" pivotButton="1"/>
    <xf numFmtId="0" fontId="0" fillId="35" borderId="0" xfId="0" applyFill="1"/>
    <xf numFmtId="0" fontId="20" fillId="35" borderId="0" xfId="0" applyFont="1" applyFill="1"/>
    <xf numFmtId="0" fontId="21" fillId="35" borderId="0" xfId="0" applyFont="1" applyFill="1" applyAlignment="1">
      <alignment horizontal="left"/>
    </xf>
    <xf numFmtId="0" fontId="21" fillId="35" borderId="0" xfId="0" applyFont="1" applyFill="1"/>
    <xf numFmtId="0" fontId="21" fillId="35" borderId="12" xfId="0" applyFont="1" applyFill="1" applyBorder="1"/>
    <xf numFmtId="0" fontId="21" fillId="35" borderId="12" xfId="0" applyFont="1" applyFill="1" applyBorder="1" applyAlignment="1">
      <alignment horizontal="left"/>
    </xf>
    <xf numFmtId="0" fontId="0" fillId="35" borderId="12" xfId="0" applyFill="1" applyBorder="1"/>
    <xf numFmtId="0" fontId="18" fillId="0" borderId="0" xfId="0" applyFont="1" applyAlignment="1">
      <alignment horizontal="center"/>
    </xf>
    <xf numFmtId="0" fontId="18" fillId="0" borderId="13" xfId="0" applyFont="1" applyBorder="1" applyAlignment="1">
      <alignment horizontal="center"/>
    </xf>
    <xf numFmtId="0" fontId="16" fillId="0" borderId="0" xfId="0" applyFont="1" applyAlignment="1">
      <alignment horizontal="center"/>
    </xf>
    <xf numFmtId="0" fontId="18" fillId="0" borderId="12" xfId="0" applyFont="1" applyBorder="1" applyAlignment="1">
      <alignment horizontal="center"/>
    </xf>
    <xf numFmtId="0" fontId="22"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9" tint="-0.24994659260841701"/>
      </font>
    </dxf>
  </dxfs>
  <tableStyles count="1" defaultTableStyle="TableStyleMedium9" defaultPivotStyle="PivotStyleLight16">
    <tableStyle name="Slicer Style 1" pivot="0" table="0" count="1" xr9:uid="{901A51D2-1906-4E40-B5AF-3DE2B66B9BCD}">
      <tableStyleElement type="wholeTable" dxfId="1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Analytics.xlsx]Pivot_Table!PivotTable9</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spPr>
          <a:solidFill>
            <a:schemeClr val="tx2">
              <a:lumMod val="20000"/>
              <a:lumOff val="80000"/>
            </a:schemeClr>
          </a:solidFill>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433455568375816"/>
          <c:y val="5.4502131217410592E-2"/>
          <c:w val="0.67249238560261393"/>
          <c:h val="0.71570208568305993"/>
        </c:manualLayout>
      </c:layout>
      <c:barChart>
        <c:barDir val="col"/>
        <c:grouping val="clustered"/>
        <c:varyColors val="0"/>
        <c:ser>
          <c:idx val="0"/>
          <c:order val="0"/>
          <c:tx>
            <c:strRef>
              <c:f>Pivot_Table!$G$14:$G$15</c:f>
              <c:strCache>
                <c:ptCount val="1"/>
                <c:pt idx="0">
                  <c:v>No PIP</c:v>
                </c:pt>
              </c:strCache>
            </c:strRef>
          </c:tx>
          <c:invertIfNegative val="0"/>
          <c:cat>
            <c:strRef>
              <c:f>Pivot_Table!$F$16:$F$21</c:f>
              <c:strCache>
                <c:ptCount val="5"/>
                <c:pt idx="0">
                  <c:v>Finance</c:v>
                </c:pt>
                <c:pt idx="1">
                  <c:v>HR</c:v>
                </c:pt>
                <c:pt idx="2">
                  <c:v>IT</c:v>
                </c:pt>
                <c:pt idx="3">
                  <c:v>Marketing</c:v>
                </c:pt>
                <c:pt idx="4">
                  <c:v>Sales</c:v>
                </c:pt>
              </c:strCache>
            </c:strRef>
          </c:cat>
          <c:val>
            <c:numRef>
              <c:f>Pivot_Table!$G$16:$G$21</c:f>
              <c:numCache>
                <c:formatCode>0.00%</c:formatCode>
                <c:ptCount val="5"/>
                <c:pt idx="0">
                  <c:v>0.126</c:v>
                </c:pt>
                <c:pt idx="1">
                  <c:v>0.121</c:v>
                </c:pt>
                <c:pt idx="2">
                  <c:v>0.127</c:v>
                </c:pt>
                <c:pt idx="3">
                  <c:v>0.122</c:v>
                </c:pt>
                <c:pt idx="4">
                  <c:v>0.113</c:v>
                </c:pt>
              </c:numCache>
            </c:numRef>
          </c:val>
          <c:extLst>
            <c:ext xmlns:c16="http://schemas.microsoft.com/office/drawing/2014/chart" uri="{C3380CC4-5D6E-409C-BE32-E72D297353CC}">
              <c16:uniqueId val="{00000006-42CA-43F8-A7A3-1AD807333CEE}"/>
            </c:ext>
          </c:extLst>
        </c:ser>
        <c:ser>
          <c:idx val="1"/>
          <c:order val="1"/>
          <c:tx>
            <c:strRef>
              <c:f>Pivot_Table!$H$14:$H$15</c:f>
              <c:strCache>
                <c:ptCount val="1"/>
                <c:pt idx="0">
                  <c:v>PIP</c:v>
                </c:pt>
              </c:strCache>
            </c:strRef>
          </c:tx>
          <c:spPr>
            <a:solidFill>
              <a:schemeClr val="tx2">
                <a:lumMod val="20000"/>
                <a:lumOff val="80000"/>
              </a:schemeClr>
            </a:solidFill>
          </c:spPr>
          <c:invertIfNegative val="0"/>
          <c:cat>
            <c:strRef>
              <c:f>Pivot_Table!$F$16:$F$21</c:f>
              <c:strCache>
                <c:ptCount val="5"/>
                <c:pt idx="0">
                  <c:v>Finance</c:v>
                </c:pt>
                <c:pt idx="1">
                  <c:v>HR</c:v>
                </c:pt>
                <c:pt idx="2">
                  <c:v>IT</c:v>
                </c:pt>
                <c:pt idx="3">
                  <c:v>Marketing</c:v>
                </c:pt>
                <c:pt idx="4">
                  <c:v>Sales</c:v>
                </c:pt>
              </c:strCache>
            </c:strRef>
          </c:cat>
          <c:val>
            <c:numRef>
              <c:f>Pivot_Table!$H$16:$H$21</c:f>
              <c:numCache>
                <c:formatCode>0.00%</c:formatCode>
                <c:ptCount val="5"/>
                <c:pt idx="0">
                  <c:v>9.1999999999999998E-2</c:v>
                </c:pt>
                <c:pt idx="1">
                  <c:v>7.9000000000000001E-2</c:v>
                </c:pt>
                <c:pt idx="2">
                  <c:v>6.6000000000000003E-2</c:v>
                </c:pt>
                <c:pt idx="3">
                  <c:v>6.5000000000000002E-2</c:v>
                </c:pt>
                <c:pt idx="4">
                  <c:v>8.8999999999999996E-2</c:v>
                </c:pt>
              </c:numCache>
            </c:numRef>
          </c:val>
          <c:extLst>
            <c:ext xmlns:c16="http://schemas.microsoft.com/office/drawing/2014/chart" uri="{C3380CC4-5D6E-409C-BE32-E72D297353CC}">
              <c16:uniqueId val="{00000008-42CA-43F8-A7A3-1AD807333CEE}"/>
            </c:ext>
          </c:extLst>
        </c:ser>
        <c:dLbls>
          <c:showLegendKey val="0"/>
          <c:showVal val="0"/>
          <c:showCatName val="0"/>
          <c:showSerName val="0"/>
          <c:showPercent val="0"/>
          <c:showBubbleSize val="0"/>
        </c:dLbls>
        <c:gapWidth val="150"/>
        <c:axId val="115579904"/>
        <c:axId val="115589888"/>
      </c:barChart>
      <c:catAx>
        <c:axId val="115579904"/>
        <c:scaling>
          <c:orientation val="minMax"/>
        </c:scaling>
        <c:delete val="0"/>
        <c:axPos val="b"/>
        <c:numFmt formatCode="General" sourceLinked="0"/>
        <c:majorTickMark val="out"/>
        <c:minorTickMark val="none"/>
        <c:tickLblPos val="nextTo"/>
        <c:txPr>
          <a:bodyPr/>
          <a:lstStyle/>
          <a:p>
            <a:pPr>
              <a:defRPr sz="1200" b="1"/>
            </a:pPr>
            <a:endParaRPr lang="en-US"/>
          </a:p>
        </c:txPr>
        <c:crossAx val="115589888"/>
        <c:crosses val="autoZero"/>
        <c:auto val="1"/>
        <c:lblAlgn val="ctr"/>
        <c:lblOffset val="100"/>
        <c:noMultiLvlLbl val="0"/>
      </c:catAx>
      <c:valAx>
        <c:axId val="115589888"/>
        <c:scaling>
          <c:orientation val="minMax"/>
        </c:scaling>
        <c:delete val="0"/>
        <c:axPos val="l"/>
        <c:majorGridlines>
          <c:spPr>
            <a:ln>
              <a:solidFill>
                <a:schemeClr val="accent1"/>
              </a:solidFill>
            </a:ln>
          </c:spPr>
        </c:majorGridlines>
        <c:numFmt formatCode="0.00%" sourceLinked="1"/>
        <c:majorTickMark val="out"/>
        <c:minorTickMark val="none"/>
        <c:tickLblPos val="nextTo"/>
        <c:txPr>
          <a:bodyPr/>
          <a:lstStyle/>
          <a:p>
            <a:pPr>
              <a:defRPr sz="1200" b="1"/>
            </a:pPr>
            <a:endParaRPr lang="en-US"/>
          </a:p>
        </c:txPr>
        <c:crossAx val="115579904"/>
        <c:crosses val="autoZero"/>
        <c:crossBetween val="between"/>
      </c:valAx>
    </c:plotArea>
    <c:legend>
      <c:legendPos val="r"/>
      <c:layout>
        <c:manualLayout>
          <c:xMode val="edge"/>
          <c:yMode val="edge"/>
          <c:x val="0.80249546611292444"/>
          <c:y val="2.893764269958414E-2"/>
          <c:w val="0.18271315380301614"/>
          <c:h val="0.27452111705151566"/>
        </c:manualLayout>
      </c:layout>
      <c:overlay val="0"/>
      <c:txPr>
        <a:bodyPr/>
        <a:lstStyle/>
        <a:p>
          <a:pPr>
            <a:defRPr sz="1600" b="1"/>
          </a:pPr>
          <a:endParaRPr lang="en-US"/>
        </a:p>
      </c:txPr>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Workforce Analytics.xlsx]Pivot_Table!PivotTable11</c:name>
    <c:fmtId val="5"/>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28632958475651"/>
          <c:y val="3.3599827279667774E-2"/>
          <c:w val="0.8936487053590163"/>
          <c:h val="0.71046453705618484"/>
        </c:manualLayout>
      </c:layout>
      <c:bar3DChart>
        <c:barDir val="col"/>
        <c:grouping val="percentStacked"/>
        <c:varyColors val="0"/>
        <c:ser>
          <c:idx val="0"/>
          <c:order val="0"/>
          <c:tx>
            <c:strRef>
              <c:f>Pivot_Table!$K$3:$K$4</c:f>
              <c:strCache>
                <c:ptCount val="1"/>
                <c:pt idx="0">
                  <c:v>Analyst</c:v>
                </c:pt>
              </c:strCache>
            </c:strRef>
          </c:tx>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Pivot_Table!$J$5:$J$10</c:f>
              <c:strCache>
                <c:ptCount val="5"/>
                <c:pt idx="0">
                  <c:v>Finance</c:v>
                </c:pt>
                <c:pt idx="1">
                  <c:v>HR</c:v>
                </c:pt>
                <c:pt idx="2">
                  <c:v>IT</c:v>
                </c:pt>
                <c:pt idx="3">
                  <c:v>Marketing</c:v>
                </c:pt>
                <c:pt idx="4">
                  <c:v>Sales</c:v>
                </c:pt>
              </c:strCache>
            </c:strRef>
          </c:cat>
          <c:val>
            <c:numRef>
              <c:f>Pivot_Table!$K$5:$K$10</c:f>
              <c:numCache>
                <c:formatCode>General</c:formatCode>
                <c:ptCount val="5"/>
                <c:pt idx="0">
                  <c:v>41</c:v>
                </c:pt>
                <c:pt idx="1">
                  <c:v>38</c:v>
                </c:pt>
                <c:pt idx="2">
                  <c:v>39</c:v>
                </c:pt>
                <c:pt idx="3">
                  <c:v>40</c:v>
                </c:pt>
                <c:pt idx="4">
                  <c:v>36</c:v>
                </c:pt>
              </c:numCache>
            </c:numRef>
          </c:val>
          <c:extLst>
            <c:ext xmlns:c16="http://schemas.microsoft.com/office/drawing/2014/chart" uri="{C3380CC4-5D6E-409C-BE32-E72D297353CC}">
              <c16:uniqueId val="{00000010-F10E-4B73-8E2F-AE1D6F2EA06C}"/>
            </c:ext>
          </c:extLst>
        </c:ser>
        <c:ser>
          <c:idx val="1"/>
          <c:order val="1"/>
          <c:tx>
            <c:strRef>
              <c:f>Pivot_Table!$L$3:$L$4</c:f>
              <c:strCache>
                <c:ptCount val="1"/>
                <c:pt idx="0">
                  <c:v>Assistant</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Pivot_Table!$J$5:$J$10</c:f>
              <c:strCache>
                <c:ptCount val="5"/>
                <c:pt idx="0">
                  <c:v>Finance</c:v>
                </c:pt>
                <c:pt idx="1">
                  <c:v>HR</c:v>
                </c:pt>
                <c:pt idx="2">
                  <c:v>IT</c:v>
                </c:pt>
                <c:pt idx="3">
                  <c:v>Marketing</c:v>
                </c:pt>
                <c:pt idx="4">
                  <c:v>Sales</c:v>
                </c:pt>
              </c:strCache>
            </c:strRef>
          </c:cat>
          <c:val>
            <c:numRef>
              <c:f>Pivot_Table!$L$5:$L$10</c:f>
              <c:numCache>
                <c:formatCode>General</c:formatCode>
                <c:ptCount val="5"/>
                <c:pt idx="0">
                  <c:v>56</c:v>
                </c:pt>
                <c:pt idx="1">
                  <c:v>44</c:v>
                </c:pt>
                <c:pt idx="2">
                  <c:v>34</c:v>
                </c:pt>
                <c:pt idx="3">
                  <c:v>31</c:v>
                </c:pt>
                <c:pt idx="4">
                  <c:v>49</c:v>
                </c:pt>
              </c:numCache>
            </c:numRef>
          </c:val>
          <c:extLst>
            <c:ext xmlns:c16="http://schemas.microsoft.com/office/drawing/2014/chart" uri="{C3380CC4-5D6E-409C-BE32-E72D297353CC}">
              <c16:uniqueId val="{00000011-F10E-4B73-8E2F-AE1D6F2EA06C}"/>
            </c:ext>
          </c:extLst>
        </c:ser>
        <c:ser>
          <c:idx val="2"/>
          <c:order val="2"/>
          <c:tx>
            <c:strRef>
              <c:f>Pivot_Table!$M$3:$M$4</c:f>
              <c:strCache>
                <c:ptCount val="1"/>
                <c:pt idx="0">
                  <c:v>Clerk</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Pivot_Table!$J$5:$J$10</c:f>
              <c:strCache>
                <c:ptCount val="5"/>
                <c:pt idx="0">
                  <c:v>Finance</c:v>
                </c:pt>
                <c:pt idx="1">
                  <c:v>HR</c:v>
                </c:pt>
                <c:pt idx="2">
                  <c:v>IT</c:v>
                </c:pt>
                <c:pt idx="3">
                  <c:v>Marketing</c:v>
                </c:pt>
                <c:pt idx="4">
                  <c:v>Sales</c:v>
                </c:pt>
              </c:strCache>
            </c:strRef>
          </c:cat>
          <c:val>
            <c:numRef>
              <c:f>Pivot_Table!$M$5:$M$10</c:f>
              <c:numCache>
                <c:formatCode>General</c:formatCode>
                <c:ptCount val="5"/>
                <c:pt idx="0">
                  <c:v>42</c:v>
                </c:pt>
                <c:pt idx="1">
                  <c:v>40</c:v>
                </c:pt>
                <c:pt idx="2">
                  <c:v>42</c:v>
                </c:pt>
                <c:pt idx="3">
                  <c:v>44</c:v>
                </c:pt>
                <c:pt idx="4">
                  <c:v>34</c:v>
                </c:pt>
              </c:numCache>
            </c:numRef>
          </c:val>
          <c:extLst>
            <c:ext xmlns:c16="http://schemas.microsoft.com/office/drawing/2014/chart" uri="{C3380CC4-5D6E-409C-BE32-E72D297353CC}">
              <c16:uniqueId val="{00000012-F10E-4B73-8E2F-AE1D6F2EA06C}"/>
            </c:ext>
          </c:extLst>
        </c:ser>
        <c:ser>
          <c:idx val="3"/>
          <c:order val="3"/>
          <c:tx>
            <c:strRef>
              <c:f>Pivot_Table!$N$3:$N$4</c:f>
              <c:strCache>
                <c:ptCount val="1"/>
                <c:pt idx="0">
                  <c:v>Director</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Pivot_Table!$J$5:$J$10</c:f>
              <c:strCache>
                <c:ptCount val="5"/>
                <c:pt idx="0">
                  <c:v>Finance</c:v>
                </c:pt>
                <c:pt idx="1">
                  <c:v>HR</c:v>
                </c:pt>
                <c:pt idx="2">
                  <c:v>IT</c:v>
                </c:pt>
                <c:pt idx="3">
                  <c:v>Marketing</c:v>
                </c:pt>
                <c:pt idx="4">
                  <c:v>Sales</c:v>
                </c:pt>
              </c:strCache>
            </c:strRef>
          </c:cat>
          <c:val>
            <c:numRef>
              <c:f>Pivot_Table!$N$5:$N$10</c:f>
              <c:numCache>
                <c:formatCode>General</c:formatCode>
                <c:ptCount val="5"/>
                <c:pt idx="0">
                  <c:v>40</c:v>
                </c:pt>
                <c:pt idx="1">
                  <c:v>49</c:v>
                </c:pt>
                <c:pt idx="2">
                  <c:v>41</c:v>
                </c:pt>
                <c:pt idx="3">
                  <c:v>37</c:v>
                </c:pt>
                <c:pt idx="4">
                  <c:v>37</c:v>
                </c:pt>
              </c:numCache>
            </c:numRef>
          </c:val>
          <c:extLst>
            <c:ext xmlns:c16="http://schemas.microsoft.com/office/drawing/2014/chart" uri="{C3380CC4-5D6E-409C-BE32-E72D297353CC}">
              <c16:uniqueId val="{00000013-F10E-4B73-8E2F-AE1D6F2EA06C}"/>
            </c:ext>
          </c:extLst>
        </c:ser>
        <c:ser>
          <c:idx val="4"/>
          <c:order val="4"/>
          <c:tx>
            <c:strRef>
              <c:f>Pivot_Table!$O$3:$O$4</c:f>
              <c:strCache>
                <c:ptCount val="1"/>
                <c:pt idx="0">
                  <c:v>Manager</c:v>
                </c:pt>
              </c:strCache>
            </c:strRef>
          </c:tx>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Pivot_Table!$J$5:$J$10</c:f>
              <c:strCache>
                <c:ptCount val="5"/>
                <c:pt idx="0">
                  <c:v>Finance</c:v>
                </c:pt>
                <c:pt idx="1">
                  <c:v>HR</c:v>
                </c:pt>
                <c:pt idx="2">
                  <c:v>IT</c:v>
                </c:pt>
                <c:pt idx="3">
                  <c:v>Marketing</c:v>
                </c:pt>
                <c:pt idx="4">
                  <c:v>Sales</c:v>
                </c:pt>
              </c:strCache>
            </c:strRef>
          </c:cat>
          <c:val>
            <c:numRef>
              <c:f>Pivot_Table!$O$5:$O$10</c:f>
              <c:numCache>
                <c:formatCode>General</c:formatCode>
                <c:ptCount val="5"/>
                <c:pt idx="0">
                  <c:v>39</c:v>
                </c:pt>
                <c:pt idx="1">
                  <c:v>29</c:v>
                </c:pt>
                <c:pt idx="2">
                  <c:v>37</c:v>
                </c:pt>
                <c:pt idx="3">
                  <c:v>35</c:v>
                </c:pt>
                <c:pt idx="4">
                  <c:v>46</c:v>
                </c:pt>
              </c:numCache>
            </c:numRef>
          </c:val>
          <c:extLst>
            <c:ext xmlns:c16="http://schemas.microsoft.com/office/drawing/2014/chart" uri="{C3380CC4-5D6E-409C-BE32-E72D297353CC}">
              <c16:uniqueId val="{00000014-F10E-4B73-8E2F-AE1D6F2EA06C}"/>
            </c:ext>
          </c:extLst>
        </c:ser>
        <c:dLbls>
          <c:showLegendKey val="0"/>
          <c:showVal val="1"/>
          <c:showCatName val="0"/>
          <c:showSerName val="0"/>
          <c:showPercent val="0"/>
          <c:showBubbleSize val="0"/>
        </c:dLbls>
        <c:gapWidth val="150"/>
        <c:shape val="box"/>
        <c:axId val="115704576"/>
        <c:axId val="115706112"/>
        <c:axId val="0"/>
      </c:bar3DChart>
      <c:catAx>
        <c:axId val="11570457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5706112"/>
        <c:crosses val="autoZero"/>
        <c:auto val="1"/>
        <c:lblAlgn val="ctr"/>
        <c:lblOffset val="100"/>
        <c:noMultiLvlLbl val="0"/>
      </c:catAx>
      <c:valAx>
        <c:axId val="115706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5704576"/>
        <c:crosses val="autoZero"/>
        <c:crossBetween val="between"/>
      </c:valAx>
      <c:spPr>
        <a:noFill/>
        <a:ln>
          <a:noFill/>
        </a:ln>
        <a:effectLst/>
      </c:spPr>
    </c:plotArea>
    <c:legend>
      <c:legendPos val="b"/>
      <c:layout>
        <c:manualLayout>
          <c:xMode val="edge"/>
          <c:yMode val="edge"/>
          <c:x val="4.999997962984163E-2"/>
          <c:y val="0.80944907720996317"/>
          <c:w val="0.89999983703873299"/>
          <c:h val="0.165652599113789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Workforce Analytics.xlsx]Pivot_Table!PivotTable12</c:name>
    <c:fmtId val="4"/>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Pivot_Table!$R$3:$R$4</c:f>
              <c:strCache>
                <c:ptCount val="1"/>
                <c:pt idx="0">
                  <c:v>Female</c:v>
                </c:pt>
              </c:strCache>
            </c:strRef>
          </c:tx>
          <c:spPr>
            <a:solidFill>
              <a:schemeClr val="accent5">
                <a:shade val="65000"/>
              </a:schemeClr>
            </a:solidFill>
            <a:ln>
              <a:noFill/>
            </a:ln>
            <a:effectLst/>
          </c:spPr>
          <c:invertIfNegative val="0"/>
          <c:cat>
            <c:strRef>
              <c:f>Pivot_Table!$Q$5:$Q$10</c:f>
              <c:strCache>
                <c:ptCount val="5"/>
                <c:pt idx="0">
                  <c:v>Finance</c:v>
                </c:pt>
                <c:pt idx="1">
                  <c:v>HR</c:v>
                </c:pt>
                <c:pt idx="2">
                  <c:v>IT</c:v>
                </c:pt>
                <c:pt idx="3">
                  <c:v>Marketing</c:v>
                </c:pt>
                <c:pt idx="4">
                  <c:v>Sales</c:v>
                </c:pt>
              </c:strCache>
            </c:strRef>
          </c:cat>
          <c:val>
            <c:numRef>
              <c:f>Pivot_Table!$R$5:$R$10</c:f>
              <c:numCache>
                <c:formatCode>General</c:formatCode>
                <c:ptCount val="5"/>
                <c:pt idx="0">
                  <c:v>60</c:v>
                </c:pt>
                <c:pt idx="1">
                  <c:v>64</c:v>
                </c:pt>
                <c:pt idx="2">
                  <c:v>57</c:v>
                </c:pt>
                <c:pt idx="3">
                  <c:v>61</c:v>
                </c:pt>
                <c:pt idx="4">
                  <c:v>71</c:v>
                </c:pt>
              </c:numCache>
            </c:numRef>
          </c:val>
          <c:extLst>
            <c:ext xmlns:c16="http://schemas.microsoft.com/office/drawing/2014/chart" uri="{C3380CC4-5D6E-409C-BE32-E72D297353CC}">
              <c16:uniqueId val="{0000000A-7C02-4E3D-BDFE-B969AC20A224}"/>
            </c:ext>
          </c:extLst>
        </c:ser>
        <c:ser>
          <c:idx val="1"/>
          <c:order val="1"/>
          <c:tx>
            <c:strRef>
              <c:f>Pivot_Table!$S$3:$S$4</c:f>
              <c:strCache>
                <c:ptCount val="1"/>
                <c:pt idx="0">
                  <c:v>Male</c:v>
                </c:pt>
              </c:strCache>
            </c:strRef>
          </c:tx>
          <c:spPr>
            <a:solidFill>
              <a:schemeClr val="accent5"/>
            </a:solidFill>
            <a:ln>
              <a:noFill/>
            </a:ln>
            <a:effectLst/>
          </c:spPr>
          <c:invertIfNegative val="0"/>
          <c:cat>
            <c:strRef>
              <c:f>Pivot_Table!$Q$5:$Q$10</c:f>
              <c:strCache>
                <c:ptCount val="5"/>
                <c:pt idx="0">
                  <c:v>Finance</c:v>
                </c:pt>
                <c:pt idx="1">
                  <c:v>HR</c:v>
                </c:pt>
                <c:pt idx="2">
                  <c:v>IT</c:v>
                </c:pt>
                <c:pt idx="3">
                  <c:v>Marketing</c:v>
                </c:pt>
                <c:pt idx="4">
                  <c:v>Sales</c:v>
                </c:pt>
              </c:strCache>
            </c:strRef>
          </c:cat>
          <c:val>
            <c:numRef>
              <c:f>Pivot_Table!$S$5:$S$10</c:f>
              <c:numCache>
                <c:formatCode>General</c:formatCode>
                <c:ptCount val="5"/>
                <c:pt idx="0">
                  <c:v>74</c:v>
                </c:pt>
                <c:pt idx="1">
                  <c:v>74</c:v>
                </c:pt>
                <c:pt idx="2">
                  <c:v>73</c:v>
                </c:pt>
                <c:pt idx="3">
                  <c:v>66</c:v>
                </c:pt>
                <c:pt idx="4">
                  <c:v>68</c:v>
                </c:pt>
              </c:numCache>
            </c:numRef>
          </c:val>
          <c:extLst>
            <c:ext xmlns:c16="http://schemas.microsoft.com/office/drawing/2014/chart" uri="{C3380CC4-5D6E-409C-BE32-E72D297353CC}">
              <c16:uniqueId val="{00000017-7C02-4E3D-BDFE-B969AC20A224}"/>
            </c:ext>
          </c:extLst>
        </c:ser>
        <c:ser>
          <c:idx val="2"/>
          <c:order val="2"/>
          <c:tx>
            <c:strRef>
              <c:f>Pivot_Table!$T$3:$T$4</c:f>
              <c:strCache>
                <c:ptCount val="1"/>
                <c:pt idx="0">
                  <c:v>Other</c:v>
                </c:pt>
              </c:strCache>
            </c:strRef>
          </c:tx>
          <c:spPr>
            <a:solidFill>
              <a:schemeClr val="accent5">
                <a:tint val="65000"/>
              </a:schemeClr>
            </a:solidFill>
            <a:ln>
              <a:noFill/>
            </a:ln>
            <a:effectLst/>
          </c:spPr>
          <c:invertIfNegative val="0"/>
          <c:cat>
            <c:strRef>
              <c:f>Pivot_Table!$Q$5:$Q$10</c:f>
              <c:strCache>
                <c:ptCount val="5"/>
                <c:pt idx="0">
                  <c:v>Finance</c:v>
                </c:pt>
                <c:pt idx="1">
                  <c:v>HR</c:v>
                </c:pt>
                <c:pt idx="2">
                  <c:v>IT</c:v>
                </c:pt>
                <c:pt idx="3">
                  <c:v>Marketing</c:v>
                </c:pt>
                <c:pt idx="4">
                  <c:v>Sales</c:v>
                </c:pt>
              </c:strCache>
            </c:strRef>
          </c:cat>
          <c:val>
            <c:numRef>
              <c:f>Pivot_Table!$T$5:$T$10</c:f>
              <c:numCache>
                <c:formatCode>General</c:formatCode>
                <c:ptCount val="5"/>
                <c:pt idx="0">
                  <c:v>84</c:v>
                </c:pt>
                <c:pt idx="1">
                  <c:v>62</c:v>
                </c:pt>
                <c:pt idx="2">
                  <c:v>63</c:v>
                </c:pt>
                <c:pt idx="3">
                  <c:v>60</c:v>
                </c:pt>
                <c:pt idx="4">
                  <c:v>63</c:v>
                </c:pt>
              </c:numCache>
            </c:numRef>
          </c:val>
          <c:extLst>
            <c:ext xmlns:c16="http://schemas.microsoft.com/office/drawing/2014/chart" uri="{C3380CC4-5D6E-409C-BE32-E72D297353CC}">
              <c16:uniqueId val="{00000018-7C02-4E3D-BDFE-B969AC20A224}"/>
            </c:ext>
          </c:extLst>
        </c:ser>
        <c:dLbls>
          <c:showLegendKey val="0"/>
          <c:showVal val="0"/>
          <c:showCatName val="0"/>
          <c:showSerName val="0"/>
          <c:showPercent val="0"/>
          <c:showBubbleSize val="0"/>
        </c:dLbls>
        <c:gapWidth val="33"/>
        <c:overlap val="100"/>
        <c:axId val="117332992"/>
        <c:axId val="117338880"/>
      </c:barChart>
      <c:catAx>
        <c:axId val="117332992"/>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17338880"/>
        <c:crosses val="autoZero"/>
        <c:auto val="1"/>
        <c:lblAlgn val="ctr"/>
        <c:lblOffset val="100"/>
        <c:noMultiLvlLbl val="0"/>
      </c:catAx>
      <c:valAx>
        <c:axId val="117338880"/>
        <c:scaling>
          <c:orientation val="minMax"/>
        </c:scaling>
        <c:delete val="0"/>
        <c:axPos val="l"/>
        <c:numFmt formatCode="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17332992"/>
        <c:crosses val="autoZero"/>
        <c:crossBetween val="between"/>
      </c:valAx>
      <c:spPr>
        <a:solidFill>
          <a:schemeClr val="bg1"/>
        </a:solidFill>
        <a:ln>
          <a:noFill/>
        </a:ln>
        <a:effectLst/>
      </c:spPr>
    </c:plotArea>
    <c:legend>
      <c:legendPos val="r"/>
      <c:layout>
        <c:manualLayout>
          <c:xMode val="edge"/>
          <c:yMode val="edge"/>
          <c:x val="0.87784277480579043"/>
          <c:y val="0.17284961310423602"/>
          <c:w val="0.12215731780609727"/>
          <c:h val="0.2302615021613927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Analytics.xlsx]Pivot_Table!PivotTable15</c:name>
    <c:fmtId val="2"/>
  </c:pivotSource>
  <c:chart>
    <c:autoTitleDeleted val="0"/>
    <c:pivotFmts>
      <c:pivotFmt>
        <c:idx val="0"/>
      </c:pivotFmt>
      <c:pivotFmt>
        <c:idx val="1"/>
      </c:pivotFmt>
      <c:pivotFmt>
        <c:idx val="2"/>
      </c:pivotFmt>
      <c:pivotFmt>
        <c:idx val="3"/>
      </c:pivotFmt>
      <c:pivotFmt>
        <c:idx val="4"/>
      </c:pivotFmt>
      <c:pivotFmt>
        <c:idx val="5"/>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1966753302938"/>
          <c:y val="5.7553624486853298E-2"/>
          <c:w val="0.66611485179522134"/>
          <c:h val="0.80743800757734596"/>
        </c:manualLayout>
      </c:layout>
      <c:barChart>
        <c:barDir val="col"/>
        <c:grouping val="clustered"/>
        <c:varyColors val="0"/>
        <c:ser>
          <c:idx val="0"/>
          <c:order val="0"/>
          <c:tx>
            <c:strRef>
              <c:f>Pivot_Table!$O$14:$O$15</c:f>
              <c:strCache>
                <c:ptCount val="1"/>
                <c:pt idx="0">
                  <c:v>High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Pivot_Table!$N$16:$N$21</c:f>
              <c:strCache>
                <c:ptCount val="5"/>
                <c:pt idx="0">
                  <c:v>Finance</c:v>
                </c:pt>
                <c:pt idx="1">
                  <c:v>HR</c:v>
                </c:pt>
                <c:pt idx="2">
                  <c:v>IT</c:v>
                </c:pt>
                <c:pt idx="3">
                  <c:v>Marketing</c:v>
                </c:pt>
                <c:pt idx="4">
                  <c:v>Sales</c:v>
                </c:pt>
              </c:strCache>
            </c:strRef>
          </c:cat>
          <c:val>
            <c:numRef>
              <c:f>Pivot_Table!$O$16:$O$21</c:f>
              <c:numCache>
                <c:formatCode>0.00%</c:formatCode>
                <c:ptCount val="5"/>
                <c:pt idx="0">
                  <c:v>0.04</c:v>
                </c:pt>
                <c:pt idx="1">
                  <c:v>3.3000000000000002E-2</c:v>
                </c:pt>
                <c:pt idx="2">
                  <c:v>0.04</c:v>
                </c:pt>
                <c:pt idx="3">
                  <c:v>4.1000000000000002E-2</c:v>
                </c:pt>
                <c:pt idx="4">
                  <c:v>3.7999999999999999E-2</c:v>
                </c:pt>
              </c:numCache>
            </c:numRef>
          </c:val>
          <c:extLst>
            <c:ext xmlns:c16="http://schemas.microsoft.com/office/drawing/2014/chart" uri="{C3380CC4-5D6E-409C-BE32-E72D297353CC}">
              <c16:uniqueId val="{0000000A-A82C-4020-849E-1FBB5FAA9C38}"/>
            </c:ext>
          </c:extLst>
        </c:ser>
        <c:ser>
          <c:idx val="1"/>
          <c:order val="1"/>
          <c:tx>
            <c:strRef>
              <c:f>Pivot_Table!$P$14:$P$15</c:f>
              <c:strCache>
                <c:ptCount val="1"/>
                <c:pt idx="0">
                  <c:v>Low</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Pivot_Table!$N$16:$N$21</c:f>
              <c:strCache>
                <c:ptCount val="5"/>
                <c:pt idx="0">
                  <c:v>Finance</c:v>
                </c:pt>
                <c:pt idx="1">
                  <c:v>HR</c:v>
                </c:pt>
                <c:pt idx="2">
                  <c:v>IT</c:v>
                </c:pt>
                <c:pt idx="3">
                  <c:v>Marketing</c:v>
                </c:pt>
                <c:pt idx="4">
                  <c:v>Sales</c:v>
                </c:pt>
              </c:strCache>
            </c:strRef>
          </c:cat>
          <c:val>
            <c:numRef>
              <c:f>Pivot_Table!$P$16:$P$21</c:f>
              <c:numCache>
                <c:formatCode>0.00%</c:formatCode>
                <c:ptCount val="5"/>
                <c:pt idx="0">
                  <c:v>9.1999999999999998E-2</c:v>
                </c:pt>
                <c:pt idx="1">
                  <c:v>7.9000000000000001E-2</c:v>
                </c:pt>
                <c:pt idx="2">
                  <c:v>6.6000000000000003E-2</c:v>
                </c:pt>
                <c:pt idx="3">
                  <c:v>6.5000000000000002E-2</c:v>
                </c:pt>
                <c:pt idx="4">
                  <c:v>8.8999999999999996E-2</c:v>
                </c:pt>
              </c:numCache>
            </c:numRef>
          </c:val>
          <c:extLst>
            <c:ext xmlns:c16="http://schemas.microsoft.com/office/drawing/2014/chart" uri="{C3380CC4-5D6E-409C-BE32-E72D297353CC}">
              <c16:uniqueId val="{0000000D-A82C-4020-849E-1FBB5FAA9C38}"/>
            </c:ext>
          </c:extLst>
        </c:ser>
        <c:ser>
          <c:idx val="2"/>
          <c:order val="2"/>
          <c:tx>
            <c:strRef>
              <c:f>Pivot_Table!$Q$14:$Q$15</c:f>
              <c:strCache>
                <c:ptCount val="1"/>
                <c:pt idx="0">
                  <c:v>Medium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Pivot_Table!$N$16:$N$21</c:f>
              <c:strCache>
                <c:ptCount val="5"/>
                <c:pt idx="0">
                  <c:v>Finance</c:v>
                </c:pt>
                <c:pt idx="1">
                  <c:v>HR</c:v>
                </c:pt>
                <c:pt idx="2">
                  <c:v>IT</c:v>
                </c:pt>
                <c:pt idx="3">
                  <c:v>Marketing</c:v>
                </c:pt>
                <c:pt idx="4">
                  <c:v>Sales</c:v>
                </c:pt>
              </c:strCache>
            </c:strRef>
          </c:cat>
          <c:val>
            <c:numRef>
              <c:f>Pivot_Table!$Q$16:$Q$21</c:f>
              <c:numCache>
                <c:formatCode>0.00%</c:formatCode>
                <c:ptCount val="5"/>
                <c:pt idx="0">
                  <c:v>8.5999999999999993E-2</c:v>
                </c:pt>
                <c:pt idx="1">
                  <c:v>8.7999999999999995E-2</c:v>
                </c:pt>
                <c:pt idx="2">
                  <c:v>8.6999999999999994E-2</c:v>
                </c:pt>
                <c:pt idx="3">
                  <c:v>8.1000000000000003E-2</c:v>
                </c:pt>
                <c:pt idx="4">
                  <c:v>7.4999999999999997E-2</c:v>
                </c:pt>
              </c:numCache>
            </c:numRef>
          </c:val>
          <c:extLst>
            <c:ext xmlns:c16="http://schemas.microsoft.com/office/drawing/2014/chart" uri="{C3380CC4-5D6E-409C-BE32-E72D297353CC}">
              <c16:uniqueId val="{0000000E-A82C-4020-849E-1FBB5FAA9C38}"/>
            </c:ext>
          </c:extLst>
        </c:ser>
        <c:dLbls>
          <c:dLblPos val="outEnd"/>
          <c:showLegendKey val="0"/>
          <c:showVal val="1"/>
          <c:showCatName val="0"/>
          <c:showSerName val="0"/>
          <c:showPercent val="0"/>
          <c:showBubbleSize val="0"/>
        </c:dLbls>
        <c:gapWidth val="219"/>
        <c:overlap val="-27"/>
        <c:axId val="117380224"/>
        <c:axId val="117381760"/>
      </c:barChart>
      <c:catAx>
        <c:axId val="1173802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7381760"/>
        <c:crosses val="autoZero"/>
        <c:auto val="1"/>
        <c:lblAlgn val="ctr"/>
        <c:lblOffset val="100"/>
        <c:noMultiLvlLbl val="0"/>
      </c:catAx>
      <c:valAx>
        <c:axId val="117381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7380224"/>
        <c:crosses val="autoZero"/>
        <c:crossBetween val="between"/>
      </c:valAx>
      <c:spPr>
        <a:noFill/>
        <a:ln>
          <a:noFill/>
        </a:ln>
        <a:effectLst/>
      </c:spPr>
    </c:plotArea>
    <c:legend>
      <c:legendPos val="r"/>
      <c:layout>
        <c:manualLayout>
          <c:xMode val="edge"/>
          <c:yMode val="edge"/>
          <c:x val="0.77751279397934348"/>
          <c:y val="2.8646762142979291E-2"/>
          <c:w val="0.21475501387953549"/>
          <c:h val="0.416527541811110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Analytics.xlsx]Pivot_Table!PivotTable10</c:name>
    <c:fmtId val="7"/>
  </c:pivotSource>
  <c:chart>
    <c:autoTitleDeleted val="0"/>
    <c:pivotFmts>
      <c:pivotFmt>
        <c:idx val="0"/>
        <c:spPr>
          <a:solidFill>
            <a:schemeClr val="accent1">
              <a:lumMod val="75000"/>
            </a:schemeClr>
          </a:solidFill>
        </c:spPr>
        <c:marker>
          <c:symbol val="none"/>
        </c:marker>
      </c:pivotFmt>
      <c:pivotFmt>
        <c:idx val="1"/>
        <c:spPr>
          <a:solidFill>
            <a:schemeClr val="tx2">
              <a:lumMod val="60000"/>
              <a:lumOff val="40000"/>
            </a:schemeClr>
          </a:solidFill>
        </c:spPr>
        <c:marker>
          <c:symbol val="none"/>
        </c:marker>
      </c:pivotFmt>
      <c:pivotFmt>
        <c:idx val="2"/>
        <c:spPr>
          <a:solidFill>
            <a:schemeClr val="accent1">
              <a:lumMod val="75000"/>
            </a:schemeClr>
          </a:solidFill>
        </c:spPr>
        <c:marker>
          <c:symbol val="none"/>
        </c:marker>
      </c:pivotFmt>
      <c:pivotFmt>
        <c:idx val="3"/>
        <c:spPr>
          <a:solidFill>
            <a:schemeClr val="tx2">
              <a:lumMod val="60000"/>
              <a:lumOff val="40000"/>
            </a:schemeClr>
          </a:solidFill>
        </c:spPr>
        <c:marker>
          <c:symbol val="none"/>
        </c:marker>
      </c:pivotFmt>
      <c:pivotFmt>
        <c:idx val="4"/>
        <c:spPr>
          <a:solidFill>
            <a:schemeClr val="tx2">
              <a:lumMod val="60000"/>
              <a:lumOff val="40000"/>
            </a:schemeClr>
          </a:solidFill>
        </c:spPr>
        <c:marker>
          <c:symbol val="none"/>
        </c:marker>
        <c:dLbl>
          <c:idx val="0"/>
          <c:delete val="1"/>
          <c:extLst>
            <c:ext xmlns:c15="http://schemas.microsoft.com/office/drawing/2012/chart" uri="{CE6537A1-D6FC-4f65-9D91-7224C49458BB}"/>
          </c:extLst>
        </c:dLbl>
      </c:pivotFmt>
      <c:pivotFmt>
        <c:idx val="5"/>
        <c:spPr>
          <a:solidFill>
            <a:schemeClr val="tx2">
              <a:lumMod val="75000"/>
            </a:schemeClr>
          </a:solidFill>
        </c:spPr>
        <c:marker>
          <c:symbol val="none"/>
        </c:marker>
        <c:dLbl>
          <c:idx val="0"/>
          <c:spPr/>
          <c:txPr>
            <a:bodyPr/>
            <a:lstStyle/>
            <a:p>
              <a:pPr>
                <a:defRPr sz="140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990956409169127"/>
          <c:y val="0.16187460474743384"/>
          <c:w val="0.83734623797025376"/>
          <c:h val="0.76049301803267388"/>
        </c:manualLayout>
      </c:layout>
      <c:barChart>
        <c:barDir val="bar"/>
        <c:grouping val="clustered"/>
        <c:varyColors val="0"/>
        <c:ser>
          <c:idx val="0"/>
          <c:order val="0"/>
          <c:tx>
            <c:strRef>
              <c:f>Pivot_Table!$G$3:$G$4</c:f>
              <c:strCache>
                <c:ptCount val="1"/>
                <c:pt idx="0">
                  <c:v>Eligible</c:v>
                </c:pt>
              </c:strCache>
            </c:strRef>
          </c:tx>
          <c:spPr>
            <a:solidFill>
              <a:schemeClr val="tx2">
                <a:lumMod val="60000"/>
                <a:lumOff val="40000"/>
              </a:schemeClr>
            </a:solidFill>
          </c:spPr>
          <c:invertIfNegative val="0"/>
          <c:cat>
            <c:strRef>
              <c:f>Pivot_Table!$F$5:$F$10</c:f>
              <c:strCache>
                <c:ptCount val="5"/>
                <c:pt idx="0">
                  <c:v>Finance</c:v>
                </c:pt>
                <c:pt idx="1">
                  <c:v>HR</c:v>
                </c:pt>
                <c:pt idx="2">
                  <c:v>IT</c:v>
                </c:pt>
                <c:pt idx="3">
                  <c:v>Marketing</c:v>
                </c:pt>
                <c:pt idx="4">
                  <c:v>Sales</c:v>
                </c:pt>
              </c:strCache>
            </c:strRef>
          </c:cat>
          <c:val>
            <c:numRef>
              <c:f>Pivot_Table!$G$5:$G$10</c:f>
              <c:numCache>
                <c:formatCode>0.00%</c:formatCode>
                <c:ptCount val="5"/>
                <c:pt idx="0">
                  <c:v>0.04</c:v>
                </c:pt>
                <c:pt idx="1">
                  <c:v>3.3000000000000002E-2</c:v>
                </c:pt>
                <c:pt idx="2">
                  <c:v>0.04</c:v>
                </c:pt>
                <c:pt idx="3">
                  <c:v>4.1000000000000002E-2</c:v>
                </c:pt>
                <c:pt idx="4">
                  <c:v>3.7999999999999999E-2</c:v>
                </c:pt>
              </c:numCache>
            </c:numRef>
          </c:val>
          <c:extLst>
            <c:ext xmlns:c16="http://schemas.microsoft.com/office/drawing/2014/chart" uri="{C3380CC4-5D6E-409C-BE32-E72D297353CC}">
              <c16:uniqueId val="{00000008-80B9-49CE-B546-937F7E5E95BC}"/>
            </c:ext>
          </c:extLst>
        </c:ser>
        <c:ser>
          <c:idx val="1"/>
          <c:order val="1"/>
          <c:tx>
            <c:strRef>
              <c:f>Pivot_Table!$H$3:$H$4</c:f>
              <c:strCache>
                <c:ptCount val="1"/>
                <c:pt idx="0">
                  <c:v>Not Eligible</c:v>
                </c:pt>
              </c:strCache>
            </c:strRef>
          </c:tx>
          <c:spPr>
            <a:solidFill>
              <a:schemeClr val="tx2">
                <a:lumMod val="75000"/>
              </a:schemeClr>
            </a:solidFill>
          </c:spPr>
          <c:invertIfNegative val="0"/>
          <c:dLbls>
            <c:spPr/>
            <c:txPr>
              <a:bodyPr/>
              <a:lstStyle/>
              <a:p>
                <a:pPr>
                  <a:defRPr sz="14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Pivot_Table!$F$5:$F$10</c:f>
              <c:strCache>
                <c:ptCount val="5"/>
                <c:pt idx="0">
                  <c:v>Finance</c:v>
                </c:pt>
                <c:pt idx="1">
                  <c:v>HR</c:v>
                </c:pt>
                <c:pt idx="2">
                  <c:v>IT</c:v>
                </c:pt>
                <c:pt idx="3">
                  <c:v>Marketing</c:v>
                </c:pt>
                <c:pt idx="4">
                  <c:v>Sales</c:v>
                </c:pt>
              </c:strCache>
            </c:strRef>
          </c:cat>
          <c:val>
            <c:numRef>
              <c:f>Pivot_Table!$H$5:$H$10</c:f>
              <c:numCache>
                <c:formatCode>0.00%</c:formatCode>
                <c:ptCount val="5"/>
                <c:pt idx="0">
                  <c:v>0.17799999999999999</c:v>
                </c:pt>
                <c:pt idx="1">
                  <c:v>0.16700000000000001</c:v>
                </c:pt>
                <c:pt idx="2">
                  <c:v>0.153</c:v>
                </c:pt>
                <c:pt idx="3">
                  <c:v>0.14599999999999999</c:v>
                </c:pt>
                <c:pt idx="4">
                  <c:v>0.16400000000000001</c:v>
                </c:pt>
              </c:numCache>
            </c:numRef>
          </c:val>
          <c:extLst>
            <c:ext xmlns:c16="http://schemas.microsoft.com/office/drawing/2014/chart" uri="{C3380CC4-5D6E-409C-BE32-E72D297353CC}">
              <c16:uniqueId val="{0000000A-80B9-49CE-B546-937F7E5E95BC}"/>
            </c:ext>
          </c:extLst>
        </c:ser>
        <c:dLbls>
          <c:showLegendKey val="0"/>
          <c:showVal val="0"/>
          <c:showCatName val="0"/>
          <c:showSerName val="0"/>
          <c:showPercent val="0"/>
          <c:showBubbleSize val="0"/>
        </c:dLbls>
        <c:gapWidth val="150"/>
        <c:axId val="105683968"/>
        <c:axId val="109918848"/>
      </c:barChart>
      <c:catAx>
        <c:axId val="105683968"/>
        <c:scaling>
          <c:orientation val="minMax"/>
        </c:scaling>
        <c:delete val="0"/>
        <c:axPos val="l"/>
        <c:numFmt formatCode="General" sourceLinked="0"/>
        <c:majorTickMark val="out"/>
        <c:minorTickMark val="none"/>
        <c:tickLblPos val="nextTo"/>
        <c:txPr>
          <a:bodyPr/>
          <a:lstStyle/>
          <a:p>
            <a:pPr>
              <a:defRPr sz="1600" b="1"/>
            </a:pPr>
            <a:endParaRPr lang="en-US"/>
          </a:p>
        </c:txPr>
        <c:crossAx val="109918848"/>
        <c:crosses val="autoZero"/>
        <c:auto val="1"/>
        <c:lblAlgn val="ctr"/>
        <c:lblOffset val="100"/>
        <c:noMultiLvlLbl val="0"/>
      </c:catAx>
      <c:valAx>
        <c:axId val="109918848"/>
        <c:scaling>
          <c:orientation val="minMax"/>
        </c:scaling>
        <c:delete val="0"/>
        <c:axPos val="b"/>
        <c:majorGridlines/>
        <c:numFmt formatCode="0.00%" sourceLinked="1"/>
        <c:majorTickMark val="out"/>
        <c:minorTickMark val="none"/>
        <c:tickLblPos val="nextTo"/>
        <c:txPr>
          <a:bodyPr/>
          <a:lstStyle/>
          <a:p>
            <a:pPr>
              <a:defRPr sz="1600" b="1"/>
            </a:pPr>
            <a:endParaRPr lang="en-US"/>
          </a:p>
        </c:txPr>
        <c:crossAx val="105683968"/>
        <c:crosses val="autoZero"/>
        <c:crossBetween val="between"/>
      </c:valAx>
    </c:plotArea>
    <c:legend>
      <c:legendPos val="r"/>
      <c:layout>
        <c:manualLayout>
          <c:xMode val="edge"/>
          <c:yMode val="edge"/>
          <c:x val="0.68450730789828862"/>
          <c:y val="0"/>
          <c:w val="0.31549269210171138"/>
          <c:h val="0.16369019016580449"/>
        </c:manualLayout>
      </c:layout>
      <c:overlay val="0"/>
      <c:txPr>
        <a:bodyPr/>
        <a:lstStyle/>
        <a:p>
          <a:pPr>
            <a:defRPr sz="1800" b="1">
              <a:solidFill>
                <a:schemeClr val="tx1"/>
              </a:solidFill>
            </a:defRPr>
          </a:pPr>
          <a:endParaRPr lang="en-US"/>
        </a:p>
      </c:txPr>
    </c:legend>
    <c:plotVisOnly val="1"/>
    <c:dispBlanksAs val="zero"/>
    <c:showDLblsOverMax val="0"/>
  </c:chart>
  <c:printSettings>
    <c:headerFooter/>
    <c:pageMargins b="0.75000000000000022" l="0.70000000000000018" r="0.70000000000000018" t="0.75000000000000022" header="0.3000000000000001" footer="0.30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Workforce Analytics.xlsx]Pivot_Table!PivotTable5</c:name>
    <c:fmtId val="5"/>
  </c:pivotSource>
  <c:chart>
    <c:autoTitleDeleted val="1"/>
    <c:pivotFmts>
      <c:pivotFmt>
        <c:idx val="0"/>
        <c:spPr>
          <a:solidFill>
            <a:schemeClr val="accent1">
              <a:lumMod val="60000"/>
              <a:lumOff val="40000"/>
            </a:schemeClr>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9444444444444445E-2"/>
              <c:y val="0.20833333333333345"/>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3888888888888897E-2"/>
              <c:y val="0.1111111111111111"/>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3333333333333367E-3"/>
              <c:y val="0.12037037037037028"/>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9444444444444445E-2"/>
              <c:y val="0.20833333333333345"/>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3888888888888897E-2"/>
              <c:y val="0.1111111111111111"/>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367E-3"/>
              <c:y val="0.12037037037037028"/>
            </c:manualLayout>
          </c:layout>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c:spPr>
        <c:marker>
          <c:symbol val="none"/>
        </c:marker>
        <c:dLbl>
          <c:idx val="0"/>
          <c:spPr/>
          <c:txPr>
            <a:bodyPr/>
            <a:lstStyle/>
            <a:p>
              <a:pPr>
                <a:defRPr sz="14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444444444444445E-2"/>
              <c:y val="0.20833333333333345"/>
            </c:manualLayout>
          </c:layout>
          <c:spPr/>
          <c:txPr>
            <a:bodyPr/>
            <a:lstStyle/>
            <a:p>
              <a:pPr>
                <a:defRPr sz="14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3888888888888897E-2"/>
              <c:y val="0.1111111111111111"/>
            </c:manualLayout>
          </c:layout>
          <c:spPr/>
          <c:txPr>
            <a:bodyPr/>
            <a:lstStyle/>
            <a:p>
              <a:pPr>
                <a:defRPr sz="14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8.3333333333333367E-3"/>
              <c:y val="0.12037037037037028"/>
            </c:manualLayout>
          </c:layout>
          <c:spPr/>
          <c:txPr>
            <a:bodyPr/>
            <a:lstStyle/>
            <a:p>
              <a:pPr>
                <a:defRPr sz="14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4849170730815"/>
          <c:y val="0.15685203113252227"/>
          <c:w val="0.85217335582250642"/>
          <c:h val="0.7173747558986211"/>
        </c:manualLayout>
      </c:layout>
      <c:barChart>
        <c:barDir val="col"/>
        <c:grouping val="clustered"/>
        <c:varyColors val="0"/>
        <c:ser>
          <c:idx val="0"/>
          <c:order val="0"/>
          <c:tx>
            <c:strRef>
              <c:f>Pivot_Table!$B$14</c:f>
              <c:strCache>
                <c:ptCount val="1"/>
                <c:pt idx="0">
                  <c:v>Total</c:v>
                </c:pt>
              </c:strCache>
            </c:strRef>
          </c:tx>
          <c:spPr>
            <a:solidFill>
              <a:schemeClr val="tx2">
                <a:lumMod val="75000"/>
              </a:schemeClr>
            </a:solidFill>
          </c:spPr>
          <c:invertIfNegative val="0"/>
          <c:dLbls>
            <c:dLbl>
              <c:idx val="0"/>
              <c:layout>
                <c:manualLayout>
                  <c:x val="1.9444444444444445E-2"/>
                  <c:y val="0.208333333333333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0E-4917-81E6-A5BFA7BA3BBF}"/>
                </c:ext>
              </c:extLst>
            </c:dLbl>
            <c:dLbl>
              <c:idx val="1"/>
              <c:layout>
                <c:manualLayout>
                  <c:x val="1.3888888888888897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0E-4917-81E6-A5BFA7BA3BBF}"/>
                </c:ext>
              </c:extLst>
            </c:dLbl>
            <c:dLbl>
              <c:idx val="2"/>
              <c:layout>
                <c:manualLayout>
                  <c:x val="8.3333333333333367E-3"/>
                  <c:y val="0.120370370370370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0E-4917-81E6-A5BFA7BA3BBF}"/>
                </c:ext>
              </c:extLst>
            </c:dLbl>
            <c:spPr/>
            <c:txPr>
              <a:bodyPr/>
              <a:lstStyle/>
              <a:p>
                <a:pPr>
                  <a:defRPr sz="1400"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Pivot_Table!$A$15:$A$18</c:f>
              <c:strCache>
                <c:ptCount val="3"/>
                <c:pt idx="0">
                  <c:v>&lt;6.5</c:v>
                </c:pt>
                <c:pt idx="1">
                  <c:v>6.5-7.5</c:v>
                </c:pt>
                <c:pt idx="2">
                  <c:v>7.5-8.5</c:v>
                </c:pt>
              </c:strCache>
            </c:strRef>
          </c:cat>
          <c:val>
            <c:numRef>
              <c:f>Pivot_Table!$B$15:$B$18</c:f>
              <c:numCache>
                <c:formatCode>General</c:formatCode>
                <c:ptCount val="3"/>
                <c:pt idx="0">
                  <c:v>634</c:v>
                </c:pt>
                <c:pt idx="1">
                  <c:v>180</c:v>
                </c:pt>
                <c:pt idx="2">
                  <c:v>186</c:v>
                </c:pt>
              </c:numCache>
            </c:numRef>
          </c:val>
          <c:extLst>
            <c:ext xmlns:c16="http://schemas.microsoft.com/office/drawing/2014/chart" uri="{C3380CC4-5D6E-409C-BE32-E72D297353CC}">
              <c16:uniqueId val="{00000003-FA0E-4917-81E6-A5BFA7BA3BBF}"/>
            </c:ext>
          </c:extLst>
        </c:ser>
        <c:dLbls>
          <c:showLegendKey val="0"/>
          <c:showVal val="0"/>
          <c:showCatName val="0"/>
          <c:showSerName val="0"/>
          <c:showPercent val="0"/>
          <c:showBubbleSize val="0"/>
        </c:dLbls>
        <c:gapWidth val="150"/>
        <c:axId val="117332608"/>
        <c:axId val="117424896"/>
      </c:barChart>
      <c:catAx>
        <c:axId val="117332608"/>
        <c:scaling>
          <c:orientation val="minMax"/>
        </c:scaling>
        <c:delete val="0"/>
        <c:axPos val="b"/>
        <c:numFmt formatCode="General" sourceLinked="0"/>
        <c:majorTickMark val="out"/>
        <c:minorTickMark val="none"/>
        <c:tickLblPos val="nextTo"/>
        <c:txPr>
          <a:bodyPr/>
          <a:lstStyle/>
          <a:p>
            <a:pPr>
              <a:defRPr sz="1600" b="1"/>
            </a:pPr>
            <a:endParaRPr lang="en-US"/>
          </a:p>
        </c:txPr>
        <c:crossAx val="117424896"/>
        <c:crosses val="autoZero"/>
        <c:auto val="1"/>
        <c:lblAlgn val="ctr"/>
        <c:lblOffset val="100"/>
        <c:noMultiLvlLbl val="0"/>
      </c:catAx>
      <c:valAx>
        <c:axId val="117424896"/>
        <c:scaling>
          <c:orientation val="minMax"/>
        </c:scaling>
        <c:delete val="0"/>
        <c:axPos val="l"/>
        <c:majorGridlines/>
        <c:numFmt formatCode="General" sourceLinked="1"/>
        <c:majorTickMark val="out"/>
        <c:minorTickMark val="none"/>
        <c:tickLblPos val="nextTo"/>
        <c:txPr>
          <a:bodyPr/>
          <a:lstStyle/>
          <a:p>
            <a:pPr>
              <a:defRPr sz="1400" b="1"/>
            </a:pPr>
            <a:endParaRPr lang="en-US"/>
          </a:p>
        </c:txPr>
        <c:crossAx val="117332608"/>
        <c:crosses val="autoZero"/>
        <c:crossBetween val="between"/>
      </c:valAx>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wmf"/><Relationship Id="rId7" Type="http://schemas.openxmlformats.org/officeDocument/2006/relationships/chart" Target="../charts/chart4.xml"/><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351692</xdr:colOff>
      <xdr:row>0</xdr:row>
      <xdr:rowOff>0</xdr:rowOff>
    </xdr:from>
    <xdr:to>
      <xdr:col>46</xdr:col>
      <xdr:colOff>76200</xdr:colOff>
      <xdr:row>53</xdr:row>
      <xdr:rowOff>19539</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351692" y="0"/>
          <a:ext cx="27766108" cy="10116039"/>
        </a:xfrm>
        <a:prstGeom prst="round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en-US" sz="1100"/>
        </a:p>
      </xdr:txBody>
    </xdr:sp>
    <xdr:clientData/>
  </xdr:twoCellAnchor>
  <xdr:twoCellAnchor>
    <xdr:from>
      <xdr:col>0</xdr:col>
      <xdr:colOff>429846</xdr:colOff>
      <xdr:row>1</xdr:row>
      <xdr:rowOff>168847</xdr:rowOff>
    </xdr:from>
    <xdr:to>
      <xdr:col>45</xdr:col>
      <xdr:colOff>476250</xdr:colOff>
      <xdr:row>50</xdr:row>
      <xdr:rowOff>107254</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429846" y="347187"/>
          <a:ext cx="27770234" cy="8677088"/>
        </a:xfrm>
        <a:prstGeom prst="roundRect">
          <a:avLst/>
        </a:prstGeom>
        <a:solidFill>
          <a:schemeClr val="accent6"/>
        </a:solidFill>
        <a:ln>
          <a:noFill/>
        </a:ln>
        <a:effectLst>
          <a:outerShdw blurRad="50800" dist="50800" dir="5400000" algn="ctr" rotWithShape="0">
            <a:schemeClr val="accent6">
              <a:lumMod val="40000"/>
              <a:lumOff val="60000"/>
            </a:schemeClr>
          </a:outerShdw>
        </a:effectLst>
        <a:scene3d>
          <a:camera prst="orthographicFront"/>
          <a:lightRig rig="threePt" dir="t"/>
        </a:scene3d>
        <a:sp3d extrusionH="76200" contourW="12700">
          <a:extrusionClr>
            <a:schemeClr val="accent6">
              <a:lumMod val="60000"/>
              <a:lumOff val="40000"/>
            </a:schemeClr>
          </a:extrusionClr>
          <a:contourClr>
            <a:schemeClr val="accent6">
              <a:lumMod val="60000"/>
              <a:lumOff val="40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xdr:col>
      <xdr:colOff>400049</xdr:colOff>
      <xdr:row>0</xdr:row>
      <xdr:rowOff>16213</xdr:rowOff>
    </xdr:from>
    <xdr:to>
      <xdr:col>42</xdr:col>
      <xdr:colOff>194553</xdr:colOff>
      <xdr:row>4</xdr:row>
      <xdr:rowOff>68036</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2248304" y="16213"/>
          <a:ext cx="23821823" cy="76518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3200" b="1">
              <a:solidFill>
                <a:schemeClr val="bg1"/>
              </a:solidFill>
            </a:rPr>
            <a:t>   </a:t>
          </a:r>
          <a:r>
            <a:rPr lang="en-US" sz="3200" b="1">
              <a:solidFill>
                <a:schemeClr val="bg1"/>
              </a:solidFill>
              <a:latin typeface="+mj-lt"/>
            </a:rPr>
            <a:t>HR Workforce</a:t>
          </a:r>
          <a:r>
            <a:rPr lang="en-US" sz="3200" b="1" baseline="0">
              <a:solidFill>
                <a:schemeClr val="bg1"/>
              </a:solidFill>
              <a:latin typeface="+mj-lt"/>
            </a:rPr>
            <a:t> Data Analysis</a:t>
          </a:r>
          <a:endParaRPr lang="en-US" sz="3200" b="1">
            <a:solidFill>
              <a:schemeClr val="bg1"/>
            </a:solidFill>
            <a:latin typeface="+mj-lt"/>
          </a:endParaRPr>
        </a:p>
      </xdr:txBody>
    </xdr:sp>
    <xdr:clientData/>
  </xdr:twoCellAnchor>
  <xdr:twoCellAnchor>
    <xdr:from>
      <xdr:col>39</xdr:col>
      <xdr:colOff>113490</xdr:colOff>
      <xdr:row>12</xdr:row>
      <xdr:rowOff>26737</xdr:rowOff>
    </xdr:from>
    <xdr:to>
      <xdr:col>45</xdr:col>
      <xdr:colOff>145915</xdr:colOff>
      <xdr:row>27</xdr:row>
      <xdr:rowOff>97277</xdr:rowOff>
    </xdr:to>
    <xdr:sp macro="" textlink="">
      <xdr:nvSpPr>
        <xdr:cNvPr id="24" name="Rounded Rectangle 23">
          <a:extLst>
            <a:ext uri="{FF2B5EF4-FFF2-40B4-BE49-F238E27FC236}">
              <a16:creationId xmlns:a16="http://schemas.microsoft.com/office/drawing/2014/main" id="{00000000-0008-0000-0300-000018000000}"/>
            </a:ext>
          </a:extLst>
        </xdr:cNvPr>
        <xdr:cNvSpPr/>
      </xdr:nvSpPr>
      <xdr:spPr>
        <a:xfrm>
          <a:off x="24140809" y="2166822"/>
          <a:ext cx="3728936" cy="2745646"/>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462272</xdr:colOff>
      <xdr:row>7</xdr:row>
      <xdr:rowOff>167640</xdr:rowOff>
    </xdr:from>
    <xdr:to>
      <xdr:col>18</xdr:col>
      <xdr:colOff>2495</xdr:colOff>
      <xdr:row>37</xdr:row>
      <xdr:rowOff>91440</xdr:rowOff>
    </xdr:to>
    <xdr:sp macro="" textlink="">
      <xdr:nvSpPr>
        <xdr:cNvPr id="28" name="Rounded Rectangle 27">
          <a:extLst>
            <a:ext uri="{FF2B5EF4-FFF2-40B4-BE49-F238E27FC236}">
              <a16:creationId xmlns:a16="http://schemas.microsoft.com/office/drawing/2014/main" id="{00000000-0008-0000-0300-00001C000000}"/>
            </a:ext>
          </a:extLst>
        </xdr:cNvPr>
        <xdr:cNvSpPr/>
      </xdr:nvSpPr>
      <xdr:spPr>
        <a:xfrm>
          <a:off x="5948672" y="1447800"/>
          <a:ext cx="5026623" cy="5410200"/>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xdr:col>
      <xdr:colOff>45720</xdr:colOff>
      <xdr:row>25</xdr:row>
      <xdr:rowOff>106680</xdr:rowOff>
    </xdr:from>
    <xdr:to>
      <xdr:col>9</xdr:col>
      <xdr:colOff>381000</xdr:colOff>
      <xdr:row>48</xdr:row>
      <xdr:rowOff>117231</xdr:rowOff>
    </xdr:to>
    <xdr:sp macro="" textlink="">
      <xdr:nvSpPr>
        <xdr:cNvPr id="29" name="Rounded Rectangle 28">
          <a:extLst>
            <a:ext uri="{FF2B5EF4-FFF2-40B4-BE49-F238E27FC236}">
              <a16:creationId xmlns:a16="http://schemas.microsoft.com/office/drawing/2014/main" id="{00000000-0008-0000-0300-00001D000000}"/>
            </a:ext>
          </a:extLst>
        </xdr:cNvPr>
        <xdr:cNvSpPr/>
      </xdr:nvSpPr>
      <xdr:spPr>
        <a:xfrm>
          <a:off x="655320" y="4678680"/>
          <a:ext cx="5212080" cy="4216791"/>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39</xdr:col>
      <xdr:colOff>159775</xdr:colOff>
      <xdr:row>28</xdr:row>
      <xdr:rowOff>1</xdr:rowOff>
    </xdr:from>
    <xdr:to>
      <xdr:col>45</xdr:col>
      <xdr:colOff>171450</xdr:colOff>
      <xdr:row>48</xdr:row>
      <xdr:rowOff>136770</xdr:rowOff>
    </xdr:to>
    <xdr:sp macro="" textlink="">
      <xdr:nvSpPr>
        <xdr:cNvPr id="32" name="Rounded Rectangle 31">
          <a:extLst>
            <a:ext uri="{FF2B5EF4-FFF2-40B4-BE49-F238E27FC236}">
              <a16:creationId xmlns:a16="http://schemas.microsoft.com/office/drawing/2014/main" id="{00000000-0008-0000-0300-000020000000}"/>
            </a:ext>
          </a:extLst>
        </xdr:cNvPr>
        <xdr:cNvSpPr/>
      </xdr:nvSpPr>
      <xdr:spPr>
        <a:xfrm>
          <a:off x="23934175" y="5334001"/>
          <a:ext cx="3669275" cy="3946769"/>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solidFill>
              <a:schemeClr val="bg1"/>
            </a:solidFill>
          </a:endParaRPr>
        </a:p>
      </xdr:txBody>
    </xdr:sp>
    <xdr:clientData/>
  </xdr:twoCellAnchor>
  <xdr:twoCellAnchor>
    <xdr:from>
      <xdr:col>18</xdr:col>
      <xdr:colOff>60960</xdr:colOff>
      <xdr:row>27</xdr:row>
      <xdr:rowOff>30480</xdr:rowOff>
    </xdr:from>
    <xdr:to>
      <xdr:col>26</xdr:col>
      <xdr:colOff>332153</xdr:colOff>
      <xdr:row>48</xdr:row>
      <xdr:rowOff>19539</xdr:rowOff>
    </xdr:to>
    <xdr:sp macro="" textlink="">
      <xdr:nvSpPr>
        <xdr:cNvPr id="34" name="Rounded Rectangle 33">
          <a:extLst>
            <a:ext uri="{FF2B5EF4-FFF2-40B4-BE49-F238E27FC236}">
              <a16:creationId xmlns:a16="http://schemas.microsoft.com/office/drawing/2014/main" id="{00000000-0008-0000-0300-000022000000}"/>
            </a:ext>
          </a:extLst>
        </xdr:cNvPr>
        <xdr:cNvSpPr/>
      </xdr:nvSpPr>
      <xdr:spPr>
        <a:xfrm>
          <a:off x="11033760" y="4968240"/>
          <a:ext cx="5147993" cy="3829539"/>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26</xdr:col>
      <xdr:colOff>449036</xdr:colOff>
      <xdr:row>4</xdr:row>
      <xdr:rowOff>170746</xdr:rowOff>
    </xdr:from>
    <xdr:to>
      <xdr:col>32</xdr:col>
      <xdr:colOff>449036</xdr:colOff>
      <xdr:row>10</xdr:row>
      <xdr:rowOff>176891</xdr:rowOff>
    </xdr:to>
    <xdr:sp macro="" textlink="">
      <xdr:nvSpPr>
        <xdr:cNvPr id="42" name="Rounded Rectangle 41">
          <a:extLst>
            <a:ext uri="{FF2B5EF4-FFF2-40B4-BE49-F238E27FC236}">
              <a16:creationId xmlns:a16="http://schemas.microsoft.com/office/drawing/2014/main" id="{00000000-0008-0000-0300-00002A000000}"/>
            </a:ext>
          </a:extLst>
        </xdr:cNvPr>
        <xdr:cNvSpPr/>
      </xdr:nvSpPr>
      <xdr:spPr>
        <a:xfrm>
          <a:off x="10246179" y="878317"/>
          <a:ext cx="3673928" cy="1067503"/>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28</xdr:col>
      <xdr:colOff>503727</xdr:colOff>
      <xdr:row>7</xdr:row>
      <xdr:rowOff>90774</xdr:rowOff>
    </xdr:from>
    <xdr:to>
      <xdr:col>31</xdr:col>
      <xdr:colOff>340442</xdr:colOff>
      <xdr:row>10</xdr:row>
      <xdr:rowOff>58118</xdr:rowOff>
    </xdr:to>
    <xdr:sp macro="" textlink="Pivot_Table!A25">
      <xdr:nvSpPr>
        <xdr:cNvPr id="43" name="TextBox 42">
          <a:extLst>
            <a:ext uri="{FF2B5EF4-FFF2-40B4-BE49-F238E27FC236}">
              <a16:creationId xmlns:a16="http://schemas.microsoft.com/office/drawing/2014/main" id="{00000000-0008-0000-0300-00002B000000}"/>
            </a:ext>
          </a:extLst>
        </xdr:cNvPr>
        <xdr:cNvSpPr txBox="1"/>
      </xdr:nvSpPr>
      <xdr:spPr>
        <a:xfrm>
          <a:off x="11525513" y="1329024"/>
          <a:ext cx="1673679" cy="498023"/>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fld id="{E6E8E7E5-6616-42DE-93DC-47C8080D7999}" type="TxLink">
            <a:rPr lang="en-US" sz="2800" b="1"/>
            <a:pPr algn="ctr"/>
            <a:t>1000</a:t>
          </a:fld>
          <a:endParaRPr lang="en-US" sz="2800" b="1"/>
        </a:p>
      </xdr:txBody>
    </xdr:sp>
    <xdr:clientData/>
  </xdr:twoCellAnchor>
  <xdr:twoCellAnchor>
    <xdr:from>
      <xdr:col>28</xdr:col>
      <xdr:colOff>52938</xdr:colOff>
      <xdr:row>5</xdr:row>
      <xdr:rowOff>68474</xdr:rowOff>
    </xdr:from>
    <xdr:to>
      <xdr:col>32</xdr:col>
      <xdr:colOff>210254</xdr:colOff>
      <xdr:row>7</xdr:row>
      <xdr:rowOff>68036</xdr:rowOff>
    </xdr:to>
    <xdr:sp macro="" textlink="">
      <xdr:nvSpPr>
        <xdr:cNvPr id="49" name="TextBox 48">
          <a:extLst>
            <a:ext uri="{FF2B5EF4-FFF2-40B4-BE49-F238E27FC236}">
              <a16:creationId xmlns:a16="http://schemas.microsoft.com/office/drawing/2014/main" id="{00000000-0008-0000-0300-000031000000}"/>
            </a:ext>
          </a:extLst>
        </xdr:cNvPr>
        <xdr:cNvSpPr txBox="1"/>
      </xdr:nvSpPr>
      <xdr:spPr>
        <a:xfrm>
          <a:off x="11074724" y="952938"/>
          <a:ext cx="2606601" cy="353348"/>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2400" b="1"/>
            <a:t>Total Employees</a:t>
          </a:r>
        </a:p>
      </xdr:txBody>
    </xdr:sp>
    <xdr:clientData/>
  </xdr:twoCellAnchor>
  <xdr:twoCellAnchor>
    <xdr:from>
      <xdr:col>39</xdr:col>
      <xdr:colOff>244930</xdr:colOff>
      <xdr:row>5</xdr:row>
      <xdr:rowOff>12289</xdr:rowOff>
    </xdr:from>
    <xdr:to>
      <xdr:col>44</xdr:col>
      <xdr:colOff>598714</xdr:colOff>
      <xdr:row>11</xdr:row>
      <xdr:rowOff>13607</xdr:rowOff>
    </xdr:to>
    <xdr:sp macro="" textlink="">
      <xdr:nvSpPr>
        <xdr:cNvPr id="51" name="Rounded Rectangle 50">
          <a:extLst>
            <a:ext uri="{FF2B5EF4-FFF2-40B4-BE49-F238E27FC236}">
              <a16:creationId xmlns:a16="http://schemas.microsoft.com/office/drawing/2014/main" id="{00000000-0008-0000-0300-000033000000}"/>
            </a:ext>
          </a:extLst>
        </xdr:cNvPr>
        <xdr:cNvSpPr/>
      </xdr:nvSpPr>
      <xdr:spPr>
        <a:xfrm>
          <a:off x="18002251" y="896753"/>
          <a:ext cx="3415392" cy="1062675"/>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32</xdr:col>
      <xdr:colOff>557893</xdr:colOff>
      <xdr:row>5</xdr:row>
      <xdr:rowOff>21771</xdr:rowOff>
    </xdr:from>
    <xdr:to>
      <xdr:col>39</xdr:col>
      <xdr:colOff>122465</xdr:colOff>
      <xdr:row>10</xdr:row>
      <xdr:rowOff>176891</xdr:rowOff>
    </xdr:to>
    <xdr:sp macro="" textlink="">
      <xdr:nvSpPr>
        <xdr:cNvPr id="52" name="Rounded Rectangle 51">
          <a:extLst>
            <a:ext uri="{FF2B5EF4-FFF2-40B4-BE49-F238E27FC236}">
              <a16:creationId xmlns:a16="http://schemas.microsoft.com/office/drawing/2014/main" id="{00000000-0008-0000-0300-000034000000}"/>
            </a:ext>
          </a:extLst>
        </xdr:cNvPr>
        <xdr:cNvSpPr/>
      </xdr:nvSpPr>
      <xdr:spPr>
        <a:xfrm>
          <a:off x="14028964" y="906235"/>
          <a:ext cx="3850822" cy="1039585"/>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27</xdr:col>
      <xdr:colOff>43082</xdr:colOff>
      <xdr:row>5</xdr:row>
      <xdr:rowOff>108858</xdr:rowOff>
    </xdr:from>
    <xdr:to>
      <xdr:col>28</xdr:col>
      <xdr:colOff>268321</xdr:colOff>
      <xdr:row>9</xdr:row>
      <xdr:rowOff>161444</xdr:rowOff>
    </xdr:to>
    <xdr:pic>
      <xdr:nvPicPr>
        <xdr:cNvPr id="3073" name="Picture 1" descr="C:\Program Files (x86)\Microsoft Office\MEDIA\CAGCAT10\j0195384.wmf">
          <a:extLst>
            <a:ext uri="{FF2B5EF4-FFF2-40B4-BE49-F238E27FC236}">
              <a16:creationId xmlns:a16="http://schemas.microsoft.com/office/drawing/2014/main" id="{00000000-0008-0000-0300-0000010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497187" y="1044647"/>
          <a:ext cx="840187" cy="801218"/>
        </a:xfrm>
        <a:prstGeom prst="rect">
          <a:avLst/>
        </a:prstGeom>
        <a:noFill/>
      </xdr:spPr>
    </xdr:pic>
    <xdr:clientData/>
  </xdr:twoCellAnchor>
  <xdr:twoCellAnchor>
    <xdr:from>
      <xdr:col>34</xdr:col>
      <xdr:colOff>0</xdr:colOff>
      <xdr:row>5</xdr:row>
      <xdr:rowOff>81644</xdr:rowOff>
    </xdr:from>
    <xdr:to>
      <xdr:col>39</xdr:col>
      <xdr:colOff>81642</xdr:colOff>
      <xdr:row>8</xdr:row>
      <xdr:rowOff>13606</xdr:rowOff>
    </xdr:to>
    <xdr:sp macro="" textlink="">
      <xdr:nvSpPr>
        <xdr:cNvPr id="58" name="TextBox 57">
          <a:extLst>
            <a:ext uri="{FF2B5EF4-FFF2-40B4-BE49-F238E27FC236}">
              <a16:creationId xmlns:a16="http://schemas.microsoft.com/office/drawing/2014/main" id="{00000000-0008-0000-0300-00003A000000}"/>
            </a:ext>
          </a:extLst>
        </xdr:cNvPr>
        <xdr:cNvSpPr txBox="1"/>
      </xdr:nvSpPr>
      <xdr:spPr>
        <a:xfrm>
          <a:off x="14695714" y="966108"/>
          <a:ext cx="3143249" cy="462641"/>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400" b="1"/>
            <a:t>Promotion</a:t>
          </a:r>
          <a:r>
            <a:rPr lang="en-US" sz="2000" b="1"/>
            <a:t> Eligibility Rate</a:t>
          </a:r>
        </a:p>
      </xdr:txBody>
    </xdr:sp>
    <xdr:clientData/>
  </xdr:twoCellAnchor>
  <xdr:twoCellAnchor>
    <xdr:from>
      <xdr:col>35</xdr:col>
      <xdr:colOff>455801</xdr:colOff>
      <xdr:row>7</xdr:row>
      <xdr:rowOff>94720</xdr:rowOff>
    </xdr:from>
    <xdr:to>
      <xdr:col>38</xdr:col>
      <xdr:colOff>97006</xdr:colOff>
      <xdr:row>9</xdr:row>
      <xdr:rowOff>36867</xdr:rowOff>
    </xdr:to>
    <xdr:sp macro="" textlink="Pivot_Table!E25">
      <xdr:nvSpPr>
        <xdr:cNvPr id="59" name="TextBox 58">
          <a:extLst>
            <a:ext uri="{FF2B5EF4-FFF2-40B4-BE49-F238E27FC236}">
              <a16:creationId xmlns:a16="http://schemas.microsoft.com/office/drawing/2014/main" id="{00000000-0008-0000-0300-00003B000000}"/>
            </a:ext>
          </a:extLst>
        </xdr:cNvPr>
        <xdr:cNvSpPr txBox="1"/>
      </xdr:nvSpPr>
      <xdr:spPr>
        <a:xfrm>
          <a:off x="15763837" y="1332970"/>
          <a:ext cx="1478169" cy="295933"/>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fld id="{AC03B746-C04E-44DE-9622-F202CD6630A0}" type="TxLink">
            <a:rPr lang="en-US" sz="2800" b="1"/>
            <a:pPr/>
            <a:t>19.20%</a:t>
          </a:fld>
          <a:endParaRPr lang="en-US" sz="2800" b="1"/>
        </a:p>
      </xdr:txBody>
    </xdr:sp>
    <xdr:clientData/>
  </xdr:twoCellAnchor>
  <xdr:twoCellAnchor editAs="oneCell">
    <xdr:from>
      <xdr:col>33</xdr:col>
      <xdr:colOff>19578</xdr:colOff>
      <xdr:row>6</xdr:row>
      <xdr:rowOff>18758</xdr:rowOff>
    </xdr:from>
    <xdr:to>
      <xdr:col>34</xdr:col>
      <xdr:colOff>231322</xdr:colOff>
      <xdr:row>10</xdr:row>
      <xdr:rowOff>95250</xdr:rowOff>
    </xdr:to>
    <xdr:pic>
      <xdr:nvPicPr>
        <xdr:cNvPr id="3074" name="Picture 2" descr="C:\Program Files (x86)\Microsoft Office\MEDIA\CAGCAT10\j0301252.wmf">
          <a:extLst>
            <a:ext uri="{FF2B5EF4-FFF2-40B4-BE49-F238E27FC236}">
              <a16:creationId xmlns:a16="http://schemas.microsoft.com/office/drawing/2014/main" id="{00000000-0008-0000-0300-0000020C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102971" y="1080115"/>
          <a:ext cx="824065" cy="784064"/>
        </a:xfrm>
        <a:prstGeom prst="rect">
          <a:avLst/>
        </a:prstGeom>
        <a:noFill/>
      </xdr:spPr>
    </xdr:pic>
    <xdr:clientData/>
  </xdr:twoCellAnchor>
  <xdr:twoCellAnchor editAs="oneCell">
    <xdr:from>
      <xdr:col>39</xdr:col>
      <xdr:colOff>376378</xdr:colOff>
      <xdr:row>6</xdr:row>
      <xdr:rowOff>38515</xdr:rowOff>
    </xdr:from>
    <xdr:to>
      <xdr:col>41</xdr:col>
      <xdr:colOff>81392</xdr:colOff>
      <xdr:row>10</xdr:row>
      <xdr:rowOff>40822</xdr:rowOff>
    </xdr:to>
    <xdr:pic>
      <xdr:nvPicPr>
        <xdr:cNvPr id="3075" name="Picture 3" descr="C:\Program Files (x86)\Microsoft Office\MEDIA\CAGCAT10\j0286034.wmf">
          <a:extLst>
            <a:ext uri="{FF2B5EF4-FFF2-40B4-BE49-F238E27FC236}">
              <a16:creationId xmlns:a16="http://schemas.microsoft.com/office/drawing/2014/main" id="{00000000-0008-0000-0300-0000030C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8209852" y="1161462"/>
          <a:ext cx="934908" cy="750939"/>
        </a:xfrm>
        <a:prstGeom prst="rect">
          <a:avLst/>
        </a:prstGeom>
        <a:noFill/>
      </xdr:spPr>
    </xdr:pic>
    <xdr:clientData/>
  </xdr:twoCellAnchor>
  <xdr:twoCellAnchor>
    <xdr:from>
      <xdr:col>41</xdr:col>
      <xdr:colOff>27215</xdr:colOff>
      <xdr:row>5</xdr:row>
      <xdr:rowOff>122375</xdr:rowOff>
    </xdr:from>
    <xdr:to>
      <xdr:col>44</xdr:col>
      <xdr:colOff>231320</xdr:colOff>
      <xdr:row>8</xdr:row>
      <xdr:rowOff>34675</xdr:rowOff>
    </xdr:to>
    <xdr:sp macro="" textlink="">
      <xdr:nvSpPr>
        <xdr:cNvPr id="62" name="TextBox 61">
          <a:extLst>
            <a:ext uri="{FF2B5EF4-FFF2-40B4-BE49-F238E27FC236}">
              <a16:creationId xmlns:a16="http://schemas.microsoft.com/office/drawing/2014/main" id="{00000000-0008-0000-0300-00003E000000}"/>
            </a:ext>
          </a:extLst>
        </xdr:cNvPr>
        <xdr:cNvSpPr txBox="1"/>
      </xdr:nvSpPr>
      <xdr:spPr>
        <a:xfrm>
          <a:off x="19009179" y="1006839"/>
          <a:ext cx="2041070" cy="442979"/>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2400" b="1"/>
            <a:t>PIP Rate</a:t>
          </a:r>
        </a:p>
      </xdr:txBody>
    </xdr:sp>
    <xdr:clientData/>
  </xdr:twoCellAnchor>
  <xdr:twoCellAnchor>
    <xdr:from>
      <xdr:col>41</xdr:col>
      <xdr:colOff>524008</xdr:colOff>
      <xdr:row>7</xdr:row>
      <xdr:rowOff>136071</xdr:rowOff>
    </xdr:from>
    <xdr:to>
      <xdr:col>44</xdr:col>
      <xdr:colOff>43015</xdr:colOff>
      <xdr:row>10</xdr:row>
      <xdr:rowOff>438</xdr:rowOff>
    </xdr:to>
    <xdr:sp macro="" textlink="Pivot_Table!G25">
      <xdr:nvSpPr>
        <xdr:cNvPr id="63" name="TextBox 62">
          <a:extLst>
            <a:ext uri="{FF2B5EF4-FFF2-40B4-BE49-F238E27FC236}">
              <a16:creationId xmlns:a16="http://schemas.microsoft.com/office/drawing/2014/main" id="{00000000-0008-0000-0300-00003F000000}"/>
            </a:ext>
          </a:extLst>
        </xdr:cNvPr>
        <xdr:cNvSpPr txBox="1"/>
      </xdr:nvSpPr>
      <xdr:spPr>
        <a:xfrm>
          <a:off x="19505972" y="1374321"/>
          <a:ext cx="1355972" cy="395046"/>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fld id="{19FBDD83-A74A-4234-8AF3-37125F1840F5}" type="TxLink">
            <a:rPr lang="en-US" sz="2800" b="1"/>
            <a:pPr/>
            <a:t>39.10%</a:t>
          </a:fld>
          <a:endParaRPr lang="en-US" sz="2800" b="1"/>
        </a:p>
      </xdr:txBody>
    </xdr:sp>
    <xdr:clientData/>
  </xdr:twoCellAnchor>
  <xdr:twoCellAnchor>
    <xdr:from>
      <xdr:col>1</xdr:col>
      <xdr:colOff>110588</xdr:colOff>
      <xdr:row>4</xdr:row>
      <xdr:rowOff>45721</xdr:rowOff>
    </xdr:from>
    <xdr:to>
      <xdr:col>9</xdr:col>
      <xdr:colOff>365760</xdr:colOff>
      <xdr:row>25</xdr:row>
      <xdr:rowOff>15241</xdr:rowOff>
    </xdr:to>
    <xdr:sp macro="" textlink="">
      <xdr:nvSpPr>
        <xdr:cNvPr id="36" name="Rounded Rectangle 35">
          <a:extLst>
            <a:ext uri="{FF2B5EF4-FFF2-40B4-BE49-F238E27FC236}">
              <a16:creationId xmlns:a16="http://schemas.microsoft.com/office/drawing/2014/main" id="{00000000-0008-0000-0300-000024000000}"/>
            </a:ext>
          </a:extLst>
        </xdr:cNvPr>
        <xdr:cNvSpPr/>
      </xdr:nvSpPr>
      <xdr:spPr>
        <a:xfrm>
          <a:off x="720188" y="777241"/>
          <a:ext cx="5131972" cy="3810000"/>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26</xdr:col>
      <xdr:colOff>467590</xdr:colOff>
      <xdr:row>13</xdr:row>
      <xdr:rowOff>78963</xdr:rowOff>
    </xdr:from>
    <xdr:to>
      <xdr:col>39</xdr:col>
      <xdr:colOff>0</xdr:colOff>
      <xdr:row>48</xdr:row>
      <xdr:rowOff>144829</xdr:rowOff>
    </xdr:to>
    <xdr:sp macro="" textlink="">
      <xdr:nvSpPr>
        <xdr:cNvPr id="4" name="Rounded Rectangle 36">
          <a:extLst>
            <a:ext uri="{FF2B5EF4-FFF2-40B4-BE49-F238E27FC236}">
              <a16:creationId xmlns:a16="http://schemas.microsoft.com/office/drawing/2014/main" id="{00000000-0008-0000-0300-000025000000}"/>
            </a:ext>
            <a:ext uri="{147F2762-F138-4A5C-976F-8EAC2B608ADB}">
              <a16:predDERef xmlns:a16="http://schemas.microsoft.com/office/drawing/2014/main" pred="{00000000-0008-0000-0300-000024000000}"/>
            </a:ext>
          </a:extLst>
        </xdr:cNvPr>
        <xdr:cNvSpPr/>
      </xdr:nvSpPr>
      <xdr:spPr>
        <a:xfrm>
          <a:off x="15821890" y="2555463"/>
          <a:ext cx="7209560" cy="6733366"/>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18</xdr:col>
      <xdr:colOff>121921</xdr:colOff>
      <xdr:row>4</xdr:row>
      <xdr:rowOff>60960</xdr:rowOff>
    </xdr:from>
    <xdr:to>
      <xdr:col>26</xdr:col>
      <xdr:colOff>348375</xdr:colOff>
      <xdr:row>26</xdr:row>
      <xdr:rowOff>118851</xdr:rowOff>
    </xdr:to>
    <xdr:sp macro="" textlink="">
      <xdr:nvSpPr>
        <xdr:cNvPr id="38" name="Rounded Rectangle 37">
          <a:extLst>
            <a:ext uri="{FF2B5EF4-FFF2-40B4-BE49-F238E27FC236}">
              <a16:creationId xmlns:a16="http://schemas.microsoft.com/office/drawing/2014/main" id="{00000000-0008-0000-0300-000026000000}"/>
            </a:ext>
          </a:extLst>
        </xdr:cNvPr>
        <xdr:cNvSpPr/>
      </xdr:nvSpPr>
      <xdr:spPr>
        <a:xfrm>
          <a:off x="11094721" y="792480"/>
          <a:ext cx="5103254" cy="4081251"/>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27</xdr:col>
      <xdr:colOff>552247</xdr:colOff>
      <xdr:row>13</xdr:row>
      <xdr:rowOff>171116</xdr:rowOff>
    </xdr:from>
    <xdr:to>
      <xdr:col>37</xdr:col>
      <xdr:colOff>351006</xdr:colOff>
      <xdr:row>16</xdr:row>
      <xdr:rowOff>32427</xdr:rowOff>
    </xdr:to>
    <xdr:sp macro="" textlink="">
      <xdr:nvSpPr>
        <xdr:cNvPr id="10" name="TextBox 39">
          <a:extLst>
            <a:ext uri="{FF2B5EF4-FFF2-40B4-BE49-F238E27FC236}">
              <a16:creationId xmlns:a16="http://schemas.microsoft.com/office/drawing/2014/main" id="{00000000-0008-0000-0300-000028000000}"/>
            </a:ext>
            <a:ext uri="{147F2762-F138-4A5C-976F-8EAC2B608ADB}">
              <a16:predDERef xmlns:a16="http://schemas.microsoft.com/office/drawing/2014/main" pred="{00000000-0008-0000-0300-000026000000}"/>
            </a:ext>
          </a:extLst>
        </xdr:cNvPr>
        <xdr:cNvSpPr txBox="1"/>
      </xdr:nvSpPr>
      <xdr:spPr>
        <a:xfrm>
          <a:off x="16497097" y="2647616"/>
          <a:ext cx="5704259" cy="432811"/>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ctr"/>
          <a:r>
            <a:rPr lang="en-US" sz="2400" b="1" i="0" u="none" strike="noStrike">
              <a:solidFill>
                <a:schemeClr val="dk1"/>
              </a:solidFill>
              <a:latin typeface="+mn-lt"/>
              <a:ea typeface="+mn-lt"/>
              <a:cs typeface="+mn-lt"/>
            </a:rPr>
            <a:t>Department-wise</a:t>
          </a:r>
          <a:r>
            <a:rPr lang="en-US" sz="2000" b="1" i="0" u="none" strike="noStrike">
              <a:solidFill>
                <a:schemeClr val="dk1"/>
              </a:solidFill>
              <a:latin typeface="+mn-lt"/>
              <a:ea typeface="+mn-lt"/>
              <a:cs typeface="+mn-lt"/>
            </a:rPr>
            <a:t> </a:t>
          </a:r>
          <a:r>
            <a:rPr lang="en-US" sz="2400" b="1" i="0" u="none" strike="noStrike">
              <a:solidFill>
                <a:schemeClr val="dk1"/>
              </a:solidFill>
              <a:latin typeface="+mn-lt"/>
              <a:ea typeface="+mn-lt"/>
              <a:cs typeface="+mn-lt"/>
            </a:rPr>
            <a:t>Promotion Eligibility</a:t>
          </a:r>
          <a:r>
            <a:rPr lang="en-US" sz="2400">
              <a:solidFill>
                <a:schemeClr val="dk1"/>
              </a:solidFill>
              <a:latin typeface="+mn-lt"/>
              <a:ea typeface="+mn-lt"/>
              <a:cs typeface="+mn-lt"/>
            </a:rPr>
            <a:t> </a:t>
          </a:r>
        </a:p>
      </xdr:txBody>
    </xdr:sp>
    <xdr:clientData/>
  </xdr:twoCellAnchor>
  <xdr:twoCellAnchor>
    <xdr:from>
      <xdr:col>18</xdr:col>
      <xdr:colOff>273538</xdr:colOff>
      <xdr:row>9</xdr:row>
      <xdr:rowOff>97694</xdr:rowOff>
    </xdr:from>
    <xdr:to>
      <xdr:col>26</xdr:col>
      <xdr:colOff>254000</xdr:colOff>
      <xdr:row>24</xdr:row>
      <xdr:rowOff>136769</xdr:rowOff>
    </xdr:to>
    <xdr:graphicFrame macro="">
      <xdr:nvGraphicFramePr>
        <xdr:cNvPr id="41" name="Chart 40">
          <a:extLst>
            <a:ext uri="{FF2B5EF4-FFF2-40B4-BE49-F238E27FC236}">
              <a16:creationId xmlns:a16="http://schemas.microsoft.com/office/drawing/2014/main" id="{00000000-0008-0000-03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367678</xdr:colOff>
      <xdr:row>6</xdr:row>
      <xdr:rowOff>69044</xdr:rowOff>
    </xdr:from>
    <xdr:to>
      <xdr:col>25</xdr:col>
      <xdr:colOff>525406</xdr:colOff>
      <xdr:row>8</xdr:row>
      <xdr:rowOff>92134</xdr:rowOff>
    </xdr:to>
    <xdr:sp macro="" textlink="">
      <xdr:nvSpPr>
        <xdr:cNvPr id="44" name="TextBox 43">
          <a:extLst>
            <a:ext uri="{FF2B5EF4-FFF2-40B4-BE49-F238E27FC236}">
              <a16:creationId xmlns:a16="http://schemas.microsoft.com/office/drawing/2014/main" id="{00000000-0008-0000-0300-00002C000000}"/>
            </a:ext>
          </a:extLst>
        </xdr:cNvPr>
        <xdr:cNvSpPr txBox="1"/>
      </xdr:nvSpPr>
      <xdr:spPr>
        <a:xfrm>
          <a:off x="11875832" y="1124121"/>
          <a:ext cx="3791882" cy="374782"/>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2000" b="1" i="0" u="none" strike="noStrike">
              <a:solidFill>
                <a:schemeClr val="dk1"/>
              </a:solidFill>
              <a:latin typeface="+mn-lt"/>
              <a:ea typeface="+mn-ea"/>
              <a:cs typeface="+mn-cs"/>
            </a:rPr>
            <a:t>Department-wise PIP Status</a:t>
          </a:r>
          <a:r>
            <a:rPr lang="en-US" sz="2000" b="1"/>
            <a:t> </a:t>
          </a:r>
        </a:p>
      </xdr:txBody>
    </xdr:sp>
    <xdr:clientData/>
  </xdr:twoCellAnchor>
  <xdr:twoCellAnchor>
    <xdr:from>
      <xdr:col>1</xdr:col>
      <xdr:colOff>592801</xdr:colOff>
      <xdr:row>5</xdr:row>
      <xdr:rowOff>18563</xdr:rowOff>
    </xdr:from>
    <xdr:to>
      <xdr:col>8</xdr:col>
      <xdr:colOff>563217</xdr:colOff>
      <xdr:row>7</xdr:row>
      <xdr:rowOff>77305</xdr:rowOff>
    </xdr:to>
    <xdr:sp macro="" textlink="">
      <xdr:nvSpPr>
        <xdr:cNvPr id="47" name="TextBox 46">
          <a:extLst>
            <a:ext uri="{FF2B5EF4-FFF2-40B4-BE49-F238E27FC236}">
              <a16:creationId xmlns:a16="http://schemas.microsoft.com/office/drawing/2014/main" id="{00000000-0008-0000-0300-00002F000000}"/>
            </a:ext>
          </a:extLst>
        </xdr:cNvPr>
        <xdr:cNvSpPr txBox="1"/>
      </xdr:nvSpPr>
      <xdr:spPr>
        <a:xfrm>
          <a:off x="1200192" y="957259"/>
          <a:ext cx="4222155" cy="43422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2000" b="1" i="0" u="none" strike="noStrike">
              <a:solidFill>
                <a:schemeClr val="dk1"/>
              </a:solidFill>
              <a:latin typeface="+mn-lt"/>
              <a:ea typeface="+mn-ea"/>
              <a:cs typeface="+mn-cs"/>
            </a:rPr>
            <a:t>Department-wise Performance level</a:t>
          </a:r>
          <a:r>
            <a:rPr lang="en-US" sz="2000"/>
            <a:t>  </a:t>
          </a:r>
        </a:p>
      </xdr:txBody>
    </xdr:sp>
    <xdr:clientData/>
  </xdr:twoCellAnchor>
  <xdr:twoCellAnchor>
    <xdr:from>
      <xdr:col>1</xdr:col>
      <xdr:colOff>214923</xdr:colOff>
      <xdr:row>29</xdr:row>
      <xdr:rowOff>149681</xdr:rowOff>
    </xdr:from>
    <xdr:to>
      <xdr:col>9</xdr:col>
      <xdr:colOff>195384</xdr:colOff>
      <xdr:row>47</xdr:row>
      <xdr:rowOff>0</xdr:rowOff>
    </xdr:to>
    <xdr:graphicFrame macro="">
      <xdr:nvGraphicFramePr>
        <xdr:cNvPr id="50" name="Chart 49">
          <a:extLst>
            <a:ext uri="{FF2B5EF4-FFF2-40B4-BE49-F238E27FC236}">
              <a16:creationId xmlns:a16="http://schemas.microsoft.com/office/drawing/2014/main" id="{00000000-0008-0000-03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340469</xdr:colOff>
      <xdr:row>27</xdr:row>
      <xdr:rowOff>48639</xdr:rowOff>
    </xdr:from>
    <xdr:to>
      <xdr:col>9</xdr:col>
      <xdr:colOff>154608</xdr:colOff>
      <xdr:row>29</xdr:row>
      <xdr:rowOff>145915</xdr:rowOff>
    </xdr:to>
    <xdr:sp macro="" textlink="">
      <xdr:nvSpPr>
        <xdr:cNvPr id="53" name="TextBox 52">
          <a:extLst>
            <a:ext uri="{FF2B5EF4-FFF2-40B4-BE49-F238E27FC236}">
              <a16:creationId xmlns:a16="http://schemas.microsoft.com/office/drawing/2014/main" id="{00000000-0008-0000-0300-000035000000}"/>
            </a:ext>
          </a:extLst>
        </xdr:cNvPr>
        <xdr:cNvSpPr txBox="1"/>
      </xdr:nvSpPr>
      <xdr:spPr>
        <a:xfrm>
          <a:off x="947860" y="5117596"/>
          <a:ext cx="4673270" cy="472754"/>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800" b="1"/>
            <a:t>Employees per</a:t>
          </a:r>
          <a:r>
            <a:rPr lang="en-US" sz="1800" b="1" baseline="0"/>
            <a:t> Departments and Positions</a:t>
          </a:r>
          <a:endParaRPr lang="en-US" sz="1800" b="1"/>
        </a:p>
      </xdr:txBody>
    </xdr:sp>
    <xdr:clientData/>
  </xdr:twoCellAnchor>
  <xdr:twoCellAnchor>
    <xdr:from>
      <xdr:col>10</xdr:col>
      <xdr:colOff>162128</xdr:colOff>
      <xdr:row>12</xdr:row>
      <xdr:rowOff>30480</xdr:rowOff>
    </xdr:from>
    <xdr:to>
      <xdr:col>17</xdr:col>
      <xdr:colOff>390770</xdr:colOff>
      <xdr:row>35</xdr:row>
      <xdr:rowOff>16213</xdr:rowOff>
    </xdr:to>
    <xdr:graphicFrame macro="">
      <xdr:nvGraphicFramePr>
        <xdr:cNvPr id="54" name="Chart 53">
          <a:extLst>
            <a:ext uri="{FF2B5EF4-FFF2-40B4-BE49-F238E27FC236}">
              <a16:creationId xmlns:a16="http://schemas.microsoft.com/office/drawing/2014/main" id="{00000000-0008-0000-03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333441</xdr:colOff>
      <xdr:row>10</xdr:row>
      <xdr:rowOff>17763</xdr:rowOff>
    </xdr:from>
    <xdr:to>
      <xdr:col>17</xdr:col>
      <xdr:colOff>390770</xdr:colOff>
      <xdr:row>12</xdr:row>
      <xdr:rowOff>156308</xdr:rowOff>
    </xdr:to>
    <xdr:sp macro="" textlink="">
      <xdr:nvSpPr>
        <xdr:cNvPr id="55" name="TextBox 54">
          <a:extLst>
            <a:ext uri="{FF2B5EF4-FFF2-40B4-BE49-F238E27FC236}">
              <a16:creationId xmlns:a16="http://schemas.microsoft.com/office/drawing/2014/main" id="{00000000-0008-0000-0300-000037000000}"/>
            </a:ext>
          </a:extLst>
        </xdr:cNvPr>
        <xdr:cNvSpPr txBox="1"/>
      </xdr:nvSpPr>
      <xdr:spPr>
        <a:xfrm>
          <a:off x="6390364" y="1776225"/>
          <a:ext cx="4297175" cy="490237"/>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2000" b="1" i="0" u="none" strike="noStrike">
              <a:solidFill>
                <a:schemeClr val="dk1"/>
              </a:solidFill>
              <a:latin typeface="+mn-lt"/>
              <a:ea typeface="+mn-ea"/>
              <a:cs typeface="+mn-cs"/>
            </a:rPr>
            <a:t>Department-wise Gender count</a:t>
          </a:r>
          <a:r>
            <a:rPr lang="en-US" sz="2000"/>
            <a:t> </a:t>
          </a:r>
        </a:p>
      </xdr:txBody>
    </xdr:sp>
    <xdr:clientData/>
  </xdr:twoCellAnchor>
  <xdr:twoCellAnchor>
    <xdr:from>
      <xdr:col>1</xdr:col>
      <xdr:colOff>297194</xdr:colOff>
      <xdr:row>8</xdr:row>
      <xdr:rowOff>21829</xdr:rowOff>
    </xdr:from>
    <xdr:to>
      <xdr:col>9</xdr:col>
      <xdr:colOff>66261</xdr:colOff>
      <xdr:row>24</xdr:row>
      <xdr:rowOff>0</xdr:rowOff>
    </xdr:to>
    <xdr:graphicFrame macro="">
      <xdr:nvGraphicFramePr>
        <xdr:cNvPr id="56" name="Chart 55">
          <a:extLst>
            <a:ext uri="{FF2B5EF4-FFF2-40B4-BE49-F238E27FC236}">
              <a16:creationId xmlns:a16="http://schemas.microsoft.com/office/drawing/2014/main" id="{00000000-0008-0000-03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129703</xdr:colOff>
      <xdr:row>16</xdr:row>
      <xdr:rowOff>78155</xdr:rowOff>
    </xdr:from>
    <xdr:to>
      <xdr:col>38</xdr:col>
      <xdr:colOff>273539</xdr:colOff>
      <xdr:row>45</xdr:row>
      <xdr:rowOff>39077</xdr:rowOff>
    </xdr:to>
    <xdr:graphicFrame macro="">
      <xdr:nvGraphicFramePr>
        <xdr:cNvPr id="45" name="Chart 44">
          <a:extLst>
            <a:ext uri="{FF2B5EF4-FFF2-40B4-BE49-F238E27FC236}">
              <a16:creationId xmlns:a16="http://schemas.microsoft.com/office/drawing/2014/main" id="{00000000-0008-0000-03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214923</xdr:colOff>
      <xdr:row>31</xdr:row>
      <xdr:rowOff>39076</xdr:rowOff>
    </xdr:from>
    <xdr:to>
      <xdr:col>26</xdr:col>
      <xdr:colOff>175846</xdr:colOff>
      <xdr:row>46</xdr:row>
      <xdr:rowOff>113488</xdr:rowOff>
    </xdr:to>
    <xdr:graphicFrame macro="">
      <xdr:nvGraphicFramePr>
        <xdr:cNvPr id="46" name="Chart 45">
          <a:extLst>
            <a:ext uri="{FF2B5EF4-FFF2-40B4-BE49-F238E27FC236}">
              <a16:creationId xmlns:a16="http://schemas.microsoft.com/office/drawing/2014/main" id="{00000000-0008-0000-03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48639</xdr:colOff>
      <xdr:row>28</xdr:row>
      <xdr:rowOff>42929</xdr:rowOff>
    </xdr:from>
    <xdr:to>
      <xdr:col>25</xdr:col>
      <xdr:colOff>340468</xdr:colOff>
      <xdr:row>30</xdr:row>
      <xdr:rowOff>143565</xdr:rowOff>
    </xdr:to>
    <xdr:pic>
      <xdr:nvPicPr>
        <xdr:cNvPr id="3" name="Picture 2">
          <a:extLst>
            <a:ext uri="{FF2B5EF4-FFF2-40B4-BE49-F238E27FC236}">
              <a16:creationId xmlns:a16="http://schemas.microsoft.com/office/drawing/2014/main" id="{3E109697-B7AD-0E65-4D62-0C6311FF8C2F}"/>
            </a:ext>
          </a:extLst>
        </xdr:cNvPr>
        <xdr:cNvPicPr>
          <a:picLocks noChangeAspect="1"/>
        </xdr:cNvPicPr>
      </xdr:nvPicPr>
      <xdr:blipFill>
        <a:blip xmlns:r="http://schemas.openxmlformats.org/officeDocument/2006/relationships" r:embed="rId10"/>
        <a:stretch>
          <a:fillRect/>
        </a:stretch>
      </xdr:blipFill>
      <xdr:spPr>
        <a:xfrm>
          <a:off x="11589074" y="5299625"/>
          <a:ext cx="3936177" cy="476114"/>
        </a:xfrm>
        <a:prstGeom prst="rect">
          <a:avLst/>
        </a:prstGeom>
      </xdr:spPr>
    </xdr:pic>
    <xdr:clientData/>
  </xdr:twoCellAnchor>
  <xdr:twoCellAnchor editAs="oneCell">
    <xdr:from>
      <xdr:col>39</xdr:col>
      <xdr:colOff>388374</xdr:colOff>
      <xdr:row>29</xdr:row>
      <xdr:rowOff>145915</xdr:rowOff>
    </xdr:from>
    <xdr:to>
      <xdr:col>44</xdr:col>
      <xdr:colOff>467398</xdr:colOff>
      <xdr:row>47</xdr:row>
      <xdr:rowOff>94179</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8A4FEA47-74D7-483A-9D4C-2625BA85D7A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4162774" y="5449435"/>
              <a:ext cx="3127024" cy="3240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312615</xdr:colOff>
      <xdr:row>12</xdr:row>
      <xdr:rowOff>145915</xdr:rowOff>
    </xdr:from>
    <xdr:to>
      <xdr:col>44</xdr:col>
      <xdr:colOff>576615</xdr:colOff>
      <xdr:row>26</xdr:row>
      <xdr:rowOff>145915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27CBD3A8-C9B5-40D7-9C6A-B8F8037A086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087015" y="2340475"/>
              <a:ext cx="3312000"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5.632242245367" createdVersion="3" refreshedVersion="3" minRefreshableVersion="3" recordCount="1000" xr:uid="{00000000-000A-0000-FFFF-FFFF00000000}">
  <cacheSource type="worksheet">
    <worksheetSource ref="A1:O1001" sheet="Data"/>
  </cacheSource>
  <cacheFields count="15">
    <cacheField name="Name" numFmtId="0">
      <sharedItems count="10">
        <s v="David"/>
        <s v="Eve"/>
        <s v="Charlie"/>
        <s v="Jack"/>
        <s v="Grace"/>
        <s v="Ivy"/>
        <s v="Bob"/>
        <s v="Hannah"/>
        <s v="Frank"/>
        <s v="Alice"/>
      </sharedItems>
    </cacheField>
    <cacheField name="Age" numFmtId="0">
      <sharedItems containsSemiMixedTypes="0" containsString="0" containsNumber="1" containsInteger="1" minValue="25" maxValue="50" count="5">
        <n v="35"/>
        <n v="30"/>
        <n v="25"/>
        <n v="50"/>
        <n v="40"/>
      </sharedItems>
    </cacheField>
    <cacheField name="Salary" numFmtId="0">
      <sharedItems containsSemiMixedTypes="0" containsString="0" containsNumber="1" containsInteger="1" minValue="50000" maxValue="70000" count="6">
        <n v="65000"/>
        <n v="60216"/>
        <n v="55000"/>
        <n v="70000"/>
        <n v="60000"/>
        <n v="50000"/>
      </sharedItems>
    </cacheField>
    <cacheField name="Gender" numFmtId="0">
      <sharedItems count="3">
        <s v="Female"/>
        <s v="Other"/>
        <s v="Male"/>
      </sharedItems>
    </cacheField>
    <cacheField name="Department" numFmtId="0">
      <sharedItems count="5">
        <s v="Finance"/>
        <s v="HR"/>
        <s v="IT"/>
        <s v="Sales"/>
        <s v="Marketing"/>
      </sharedItems>
    </cacheField>
    <cacheField name="Position" numFmtId="0">
      <sharedItems count="5">
        <s v="Director"/>
        <s v="Assistant"/>
        <s v="Manager"/>
        <s v="Analyst"/>
        <s v="Clerk"/>
      </sharedItems>
    </cacheField>
    <cacheField name="Joining Date" numFmtId="14">
      <sharedItems containsSemiMixedTypes="0" containsNonDate="0" containsDate="1" containsString="0" minDate="2018-04-02T00:00:00" maxDate="2020-02-21T00:00:00"/>
    </cacheField>
    <cacheField name="Performance Score" numFmtId="14">
      <sharedItems/>
    </cacheField>
    <cacheField name="Email address" numFmtId="14">
      <sharedItems/>
    </cacheField>
    <cacheField name="Phone Number" numFmtId="14">
      <sharedItems/>
    </cacheField>
    <cacheField name="Years of experience" numFmtId="164">
      <sharedItems containsSemiMixedTypes="0" containsString="0" containsNumber="1" minValue="6.1" maxValue="8" count="5">
        <n v="6.1"/>
        <n v="6.2"/>
        <n v="7"/>
        <n v="6.3"/>
        <n v="8"/>
      </sharedItems>
      <fieldGroup base="10">
        <rangePr autoStart="0" autoEnd="0" startNum="6.5" endNum="8.5"/>
        <groupItems count="4">
          <s v="&lt;6.5"/>
          <s v="6.5-7.5"/>
          <s v="7.5-8.5"/>
          <s v="&gt;8.5"/>
        </groupItems>
      </fieldGroup>
    </cacheField>
    <cacheField name="Salary Category" numFmtId="0">
      <sharedItems count="3">
        <s v="High"/>
        <s v="Medium"/>
        <s v="Low"/>
      </sharedItems>
    </cacheField>
    <cacheField name="Performance level" numFmtId="0">
      <sharedItems count="3">
        <s v="Low"/>
        <s v="High"/>
        <s v="Medium"/>
      </sharedItems>
    </cacheField>
    <cacheField name="PIP Status" numFmtId="0">
      <sharedItems count="2">
        <s v="PIP"/>
        <s v="No PIP"/>
      </sharedItems>
    </cacheField>
    <cacheField name="Promotion Eligibility" numFmtId="0">
      <sharedItems count="2">
        <s v="Not Eligible"/>
        <s v="Eligible"/>
      </sharedItems>
    </cacheField>
  </cacheFields>
  <extLst>
    <ext xmlns:x14="http://schemas.microsoft.com/office/spreadsheetml/2009/9/main" uri="{725AE2AE-9491-48be-B2B4-4EB974FC3084}">
      <x14:pivotCacheDefinition pivotCacheId="1870579045"/>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d v="2020-02-20T00:00:00"/>
    <s v="F"/>
    <s v="user@domain.com"/>
    <s v="123-456-7890"/>
    <x v="0"/>
    <x v="0"/>
    <x v="0"/>
    <x v="0"/>
    <x v="0"/>
  </r>
  <r>
    <x v="1"/>
    <x v="1"/>
    <x v="1"/>
    <x v="1"/>
    <x v="0"/>
    <x v="1"/>
    <d v="2020-02-20T00:00:00"/>
    <s v="A"/>
    <s v="Not Available"/>
    <s v="Not Available"/>
    <x v="0"/>
    <x v="1"/>
    <x v="1"/>
    <x v="1"/>
    <x v="1"/>
  </r>
  <r>
    <x v="2"/>
    <x v="2"/>
    <x v="2"/>
    <x v="1"/>
    <x v="1"/>
    <x v="2"/>
    <d v="2020-02-20T00:00:00"/>
    <s v="F"/>
    <s v="Not Available"/>
    <s v="555-555-5555"/>
    <x v="0"/>
    <x v="2"/>
    <x v="0"/>
    <x v="0"/>
    <x v="0"/>
  </r>
  <r>
    <x v="3"/>
    <x v="3"/>
    <x v="3"/>
    <x v="2"/>
    <x v="0"/>
    <x v="3"/>
    <d v="2020-02-20T00:00:00"/>
    <s v="A"/>
    <s v="email@example.com"/>
    <s v="098-765-4321"/>
    <x v="0"/>
    <x v="0"/>
    <x v="1"/>
    <x v="1"/>
    <x v="1"/>
  </r>
  <r>
    <x v="4"/>
    <x v="3"/>
    <x v="4"/>
    <x v="2"/>
    <x v="2"/>
    <x v="4"/>
    <d v="2020-02-20T00:00:00"/>
    <s v="C"/>
    <s v="Not Available"/>
    <s v="Not Available"/>
    <x v="0"/>
    <x v="1"/>
    <x v="2"/>
    <x v="1"/>
    <x v="0"/>
  </r>
  <r>
    <x v="4"/>
    <x v="2"/>
    <x v="0"/>
    <x v="2"/>
    <x v="2"/>
    <x v="1"/>
    <d v="2020-02-20T00:00:00"/>
    <s v="A"/>
    <s v="name@company.org"/>
    <s v="Not Available"/>
    <x v="0"/>
    <x v="0"/>
    <x v="1"/>
    <x v="1"/>
    <x v="1"/>
  </r>
  <r>
    <x v="1"/>
    <x v="4"/>
    <x v="1"/>
    <x v="1"/>
    <x v="3"/>
    <x v="2"/>
    <d v="2020-02-20T00:00:00"/>
    <s v="C"/>
    <s v="name@company.org"/>
    <s v="123-456-7890"/>
    <x v="0"/>
    <x v="1"/>
    <x v="2"/>
    <x v="1"/>
    <x v="0"/>
  </r>
  <r>
    <x v="5"/>
    <x v="2"/>
    <x v="4"/>
    <x v="2"/>
    <x v="2"/>
    <x v="2"/>
    <d v="2020-02-20T00:00:00"/>
    <s v="A"/>
    <s v="Not Available"/>
    <s v="098-765-4321"/>
    <x v="0"/>
    <x v="1"/>
    <x v="1"/>
    <x v="1"/>
    <x v="1"/>
  </r>
  <r>
    <x v="4"/>
    <x v="1"/>
    <x v="1"/>
    <x v="2"/>
    <x v="4"/>
    <x v="0"/>
    <d v="2020-02-20T00:00:00"/>
    <s v="D"/>
    <s v="Not Available"/>
    <s v="Not Available"/>
    <x v="0"/>
    <x v="1"/>
    <x v="0"/>
    <x v="0"/>
    <x v="0"/>
  </r>
  <r>
    <x v="0"/>
    <x v="2"/>
    <x v="2"/>
    <x v="0"/>
    <x v="0"/>
    <x v="1"/>
    <d v="2020-02-20T00:00:00"/>
    <s v="A"/>
    <s v="Not Available"/>
    <s v="Not Available"/>
    <x v="0"/>
    <x v="2"/>
    <x v="1"/>
    <x v="1"/>
    <x v="1"/>
  </r>
  <r>
    <x v="3"/>
    <x v="2"/>
    <x v="4"/>
    <x v="1"/>
    <x v="4"/>
    <x v="0"/>
    <d v="2020-02-20T00:00:00"/>
    <s v="B"/>
    <s v="Not Available"/>
    <s v="123-456-7890"/>
    <x v="0"/>
    <x v="1"/>
    <x v="2"/>
    <x v="1"/>
    <x v="0"/>
  </r>
  <r>
    <x v="4"/>
    <x v="3"/>
    <x v="5"/>
    <x v="2"/>
    <x v="2"/>
    <x v="0"/>
    <d v="2020-02-20T00:00:00"/>
    <s v="C"/>
    <s v="Not Available"/>
    <s v="555-555-5555"/>
    <x v="0"/>
    <x v="2"/>
    <x v="2"/>
    <x v="1"/>
    <x v="0"/>
  </r>
  <r>
    <x v="6"/>
    <x v="0"/>
    <x v="3"/>
    <x v="0"/>
    <x v="2"/>
    <x v="3"/>
    <d v="2020-02-20T00:00:00"/>
    <s v="B"/>
    <s v="email@example.com"/>
    <s v="Not Available"/>
    <x v="0"/>
    <x v="0"/>
    <x v="2"/>
    <x v="1"/>
    <x v="0"/>
  </r>
  <r>
    <x v="7"/>
    <x v="1"/>
    <x v="2"/>
    <x v="2"/>
    <x v="1"/>
    <x v="2"/>
    <d v="2020-02-20T00:00:00"/>
    <s v="B"/>
    <s v="user@domain.com"/>
    <s v="Not Available"/>
    <x v="0"/>
    <x v="2"/>
    <x v="2"/>
    <x v="1"/>
    <x v="0"/>
  </r>
  <r>
    <x v="6"/>
    <x v="1"/>
    <x v="5"/>
    <x v="1"/>
    <x v="2"/>
    <x v="3"/>
    <d v="2020-02-20T00:00:00"/>
    <s v="F"/>
    <s v="user@domain.com"/>
    <s v="098-765-4321"/>
    <x v="0"/>
    <x v="2"/>
    <x v="0"/>
    <x v="0"/>
    <x v="0"/>
  </r>
  <r>
    <x v="7"/>
    <x v="0"/>
    <x v="5"/>
    <x v="1"/>
    <x v="0"/>
    <x v="2"/>
    <d v="2020-02-20T00:00:00"/>
    <s v="D"/>
    <s v="email@example.com"/>
    <s v="Not Available"/>
    <x v="0"/>
    <x v="2"/>
    <x v="0"/>
    <x v="0"/>
    <x v="0"/>
  </r>
  <r>
    <x v="1"/>
    <x v="3"/>
    <x v="2"/>
    <x v="2"/>
    <x v="4"/>
    <x v="2"/>
    <d v="2020-02-20T00:00:00"/>
    <s v="B"/>
    <s v="Not Available"/>
    <s v="555-555-5555"/>
    <x v="0"/>
    <x v="2"/>
    <x v="2"/>
    <x v="1"/>
    <x v="0"/>
  </r>
  <r>
    <x v="7"/>
    <x v="1"/>
    <x v="3"/>
    <x v="2"/>
    <x v="1"/>
    <x v="2"/>
    <d v="2020-02-20T00:00:00"/>
    <s v="C"/>
    <s v="email@example.com"/>
    <s v="098-765-4321"/>
    <x v="0"/>
    <x v="0"/>
    <x v="2"/>
    <x v="1"/>
    <x v="0"/>
  </r>
  <r>
    <x v="4"/>
    <x v="0"/>
    <x v="0"/>
    <x v="0"/>
    <x v="3"/>
    <x v="2"/>
    <d v="2020-02-20T00:00:00"/>
    <s v="F"/>
    <s v="email@example.com"/>
    <s v="Not Available"/>
    <x v="0"/>
    <x v="0"/>
    <x v="0"/>
    <x v="0"/>
    <x v="0"/>
  </r>
  <r>
    <x v="4"/>
    <x v="1"/>
    <x v="4"/>
    <x v="0"/>
    <x v="4"/>
    <x v="4"/>
    <d v="2020-02-20T00:00:00"/>
    <s v="A"/>
    <s v="name@company.org"/>
    <s v="123-456-7890"/>
    <x v="0"/>
    <x v="1"/>
    <x v="1"/>
    <x v="1"/>
    <x v="1"/>
  </r>
  <r>
    <x v="1"/>
    <x v="0"/>
    <x v="3"/>
    <x v="2"/>
    <x v="1"/>
    <x v="2"/>
    <d v="2020-02-20T00:00:00"/>
    <s v="B"/>
    <s v="user@domain.com"/>
    <s v="Not Available"/>
    <x v="0"/>
    <x v="0"/>
    <x v="2"/>
    <x v="1"/>
    <x v="0"/>
  </r>
  <r>
    <x v="4"/>
    <x v="0"/>
    <x v="1"/>
    <x v="2"/>
    <x v="0"/>
    <x v="4"/>
    <d v="2020-02-20T00:00:00"/>
    <s v="F"/>
    <s v="name@company.org"/>
    <s v="098-765-4321"/>
    <x v="0"/>
    <x v="1"/>
    <x v="0"/>
    <x v="0"/>
    <x v="0"/>
  </r>
  <r>
    <x v="0"/>
    <x v="4"/>
    <x v="2"/>
    <x v="1"/>
    <x v="2"/>
    <x v="4"/>
    <d v="2020-02-20T00:00:00"/>
    <s v="A"/>
    <s v="Not Available"/>
    <s v="555-555-5555"/>
    <x v="0"/>
    <x v="2"/>
    <x v="1"/>
    <x v="1"/>
    <x v="1"/>
  </r>
  <r>
    <x v="0"/>
    <x v="2"/>
    <x v="5"/>
    <x v="1"/>
    <x v="0"/>
    <x v="2"/>
    <d v="2020-02-20T00:00:00"/>
    <s v="D"/>
    <s v="user@domain.com"/>
    <s v="098-765-4321"/>
    <x v="0"/>
    <x v="2"/>
    <x v="0"/>
    <x v="0"/>
    <x v="0"/>
  </r>
  <r>
    <x v="8"/>
    <x v="4"/>
    <x v="0"/>
    <x v="0"/>
    <x v="4"/>
    <x v="2"/>
    <d v="2020-02-20T00:00:00"/>
    <s v="C"/>
    <s v="email@example.com"/>
    <s v="555-555-5555"/>
    <x v="0"/>
    <x v="0"/>
    <x v="2"/>
    <x v="1"/>
    <x v="0"/>
  </r>
  <r>
    <x v="0"/>
    <x v="0"/>
    <x v="2"/>
    <x v="1"/>
    <x v="3"/>
    <x v="1"/>
    <d v="2020-02-20T00:00:00"/>
    <s v="D"/>
    <s v="name@company.org"/>
    <s v="Not Available"/>
    <x v="0"/>
    <x v="2"/>
    <x v="0"/>
    <x v="0"/>
    <x v="0"/>
  </r>
  <r>
    <x v="8"/>
    <x v="4"/>
    <x v="1"/>
    <x v="1"/>
    <x v="3"/>
    <x v="1"/>
    <d v="2020-02-20T00:00:00"/>
    <s v="C"/>
    <s v="Not Available"/>
    <s v="Not Available"/>
    <x v="0"/>
    <x v="1"/>
    <x v="2"/>
    <x v="1"/>
    <x v="0"/>
  </r>
  <r>
    <x v="5"/>
    <x v="4"/>
    <x v="1"/>
    <x v="1"/>
    <x v="2"/>
    <x v="3"/>
    <d v="2020-02-20T00:00:00"/>
    <s v="C"/>
    <s v="email@example.com"/>
    <s v="Not Available"/>
    <x v="0"/>
    <x v="1"/>
    <x v="2"/>
    <x v="1"/>
    <x v="0"/>
  </r>
  <r>
    <x v="5"/>
    <x v="4"/>
    <x v="3"/>
    <x v="2"/>
    <x v="3"/>
    <x v="2"/>
    <d v="2020-02-20T00:00:00"/>
    <s v="B"/>
    <s v="user@domain.com"/>
    <s v="Not Available"/>
    <x v="0"/>
    <x v="0"/>
    <x v="2"/>
    <x v="1"/>
    <x v="0"/>
  </r>
  <r>
    <x v="9"/>
    <x v="1"/>
    <x v="2"/>
    <x v="0"/>
    <x v="3"/>
    <x v="1"/>
    <d v="2020-02-20T00:00:00"/>
    <s v="F"/>
    <s v="user@domain.com"/>
    <s v="555-555-5555"/>
    <x v="0"/>
    <x v="2"/>
    <x v="0"/>
    <x v="0"/>
    <x v="0"/>
  </r>
  <r>
    <x v="0"/>
    <x v="0"/>
    <x v="3"/>
    <x v="2"/>
    <x v="1"/>
    <x v="4"/>
    <d v="2020-02-20T00:00:00"/>
    <s v="A"/>
    <s v="Not Available"/>
    <s v="Not Available"/>
    <x v="0"/>
    <x v="0"/>
    <x v="1"/>
    <x v="1"/>
    <x v="1"/>
  </r>
  <r>
    <x v="4"/>
    <x v="0"/>
    <x v="0"/>
    <x v="1"/>
    <x v="1"/>
    <x v="2"/>
    <d v="2020-02-20T00:00:00"/>
    <s v="A"/>
    <s v="name@company.org"/>
    <s v="555-555-5555"/>
    <x v="0"/>
    <x v="0"/>
    <x v="1"/>
    <x v="1"/>
    <x v="1"/>
  </r>
  <r>
    <x v="9"/>
    <x v="3"/>
    <x v="2"/>
    <x v="2"/>
    <x v="1"/>
    <x v="4"/>
    <d v="2020-02-20T00:00:00"/>
    <s v="C"/>
    <s v="Not Available"/>
    <s v="Not Available"/>
    <x v="0"/>
    <x v="2"/>
    <x v="2"/>
    <x v="1"/>
    <x v="0"/>
  </r>
  <r>
    <x v="9"/>
    <x v="4"/>
    <x v="4"/>
    <x v="2"/>
    <x v="3"/>
    <x v="2"/>
    <d v="2020-02-20T00:00:00"/>
    <s v="C"/>
    <s v="name@company.org"/>
    <s v="Not Available"/>
    <x v="0"/>
    <x v="1"/>
    <x v="2"/>
    <x v="1"/>
    <x v="0"/>
  </r>
  <r>
    <x v="6"/>
    <x v="0"/>
    <x v="0"/>
    <x v="2"/>
    <x v="4"/>
    <x v="3"/>
    <d v="2020-02-20T00:00:00"/>
    <s v="D"/>
    <s v="email@example.com"/>
    <s v="555-555-5555"/>
    <x v="0"/>
    <x v="0"/>
    <x v="0"/>
    <x v="0"/>
    <x v="0"/>
  </r>
  <r>
    <x v="4"/>
    <x v="1"/>
    <x v="2"/>
    <x v="2"/>
    <x v="4"/>
    <x v="4"/>
    <d v="2020-02-20T00:00:00"/>
    <s v="C"/>
    <s v="Not Available"/>
    <s v="123-456-7890"/>
    <x v="0"/>
    <x v="2"/>
    <x v="2"/>
    <x v="1"/>
    <x v="0"/>
  </r>
  <r>
    <x v="4"/>
    <x v="1"/>
    <x v="1"/>
    <x v="1"/>
    <x v="2"/>
    <x v="2"/>
    <d v="2020-02-20T00:00:00"/>
    <s v="A"/>
    <s v="user@domain.com"/>
    <s v="098-765-4321"/>
    <x v="0"/>
    <x v="1"/>
    <x v="1"/>
    <x v="1"/>
    <x v="1"/>
  </r>
  <r>
    <x v="6"/>
    <x v="3"/>
    <x v="3"/>
    <x v="2"/>
    <x v="3"/>
    <x v="2"/>
    <d v="2020-02-20T00:00:00"/>
    <s v="A"/>
    <s v="Not Available"/>
    <s v="098-765-4321"/>
    <x v="0"/>
    <x v="0"/>
    <x v="1"/>
    <x v="1"/>
    <x v="1"/>
  </r>
  <r>
    <x v="8"/>
    <x v="3"/>
    <x v="5"/>
    <x v="2"/>
    <x v="1"/>
    <x v="2"/>
    <d v="2020-02-20T00:00:00"/>
    <s v="D"/>
    <s v="user@domain.com"/>
    <s v="098-765-4321"/>
    <x v="0"/>
    <x v="2"/>
    <x v="0"/>
    <x v="0"/>
    <x v="0"/>
  </r>
  <r>
    <x v="8"/>
    <x v="1"/>
    <x v="4"/>
    <x v="2"/>
    <x v="0"/>
    <x v="0"/>
    <d v="2020-02-20T00:00:00"/>
    <s v="B"/>
    <s v="Not Available"/>
    <s v="123-456-7890"/>
    <x v="0"/>
    <x v="1"/>
    <x v="2"/>
    <x v="1"/>
    <x v="0"/>
  </r>
  <r>
    <x v="0"/>
    <x v="4"/>
    <x v="2"/>
    <x v="2"/>
    <x v="1"/>
    <x v="1"/>
    <d v="2020-02-20T00:00:00"/>
    <s v="C"/>
    <s v="user@domain.com"/>
    <s v="Not Available"/>
    <x v="0"/>
    <x v="2"/>
    <x v="2"/>
    <x v="1"/>
    <x v="0"/>
  </r>
  <r>
    <x v="9"/>
    <x v="2"/>
    <x v="4"/>
    <x v="2"/>
    <x v="3"/>
    <x v="1"/>
    <d v="2020-02-20T00:00:00"/>
    <s v="D"/>
    <s v="Not Available"/>
    <s v="Not Available"/>
    <x v="0"/>
    <x v="1"/>
    <x v="0"/>
    <x v="0"/>
    <x v="0"/>
  </r>
  <r>
    <x v="5"/>
    <x v="3"/>
    <x v="1"/>
    <x v="1"/>
    <x v="4"/>
    <x v="2"/>
    <d v="2020-02-20T00:00:00"/>
    <s v="F"/>
    <s v="name@company.org"/>
    <s v="555-555-5555"/>
    <x v="0"/>
    <x v="1"/>
    <x v="0"/>
    <x v="0"/>
    <x v="0"/>
  </r>
  <r>
    <x v="3"/>
    <x v="1"/>
    <x v="0"/>
    <x v="1"/>
    <x v="0"/>
    <x v="4"/>
    <d v="2020-02-20T00:00:00"/>
    <s v="F"/>
    <s v="Not Available"/>
    <s v="555-555-5555"/>
    <x v="0"/>
    <x v="0"/>
    <x v="0"/>
    <x v="0"/>
    <x v="0"/>
  </r>
  <r>
    <x v="5"/>
    <x v="2"/>
    <x v="4"/>
    <x v="2"/>
    <x v="1"/>
    <x v="4"/>
    <d v="2020-02-20T00:00:00"/>
    <s v="B"/>
    <s v="Not Available"/>
    <s v="123-456-7890"/>
    <x v="0"/>
    <x v="1"/>
    <x v="2"/>
    <x v="1"/>
    <x v="0"/>
  </r>
  <r>
    <x v="9"/>
    <x v="0"/>
    <x v="3"/>
    <x v="0"/>
    <x v="1"/>
    <x v="2"/>
    <d v="2020-02-20T00:00:00"/>
    <s v="B"/>
    <s v="name@company.org"/>
    <s v="123-456-7890"/>
    <x v="0"/>
    <x v="0"/>
    <x v="2"/>
    <x v="1"/>
    <x v="0"/>
  </r>
  <r>
    <x v="5"/>
    <x v="4"/>
    <x v="3"/>
    <x v="1"/>
    <x v="4"/>
    <x v="0"/>
    <d v="2020-02-20T00:00:00"/>
    <s v="A"/>
    <s v="user@domain.com"/>
    <s v="Not Available"/>
    <x v="0"/>
    <x v="0"/>
    <x v="1"/>
    <x v="1"/>
    <x v="1"/>
  </r>
  <r>
    <x v="2"/>
    <x v="4"/>
    <x v="3"/>
    <x v="0"/>
    <x v="1"/>
    <x v="0"/>
    <d v="2020-02-20T00:00:00"/>
    <s v="D"/>
    <s v="email@example.com"/>
    <s v="098-765-4321"/>
    <x v="0"/>
    <x v="0"/>
    <x v="0"/>
    <x v="0"/>
    <x v="0"/>
  </r>
  <r>
    <x v="7"/>
    <x v="3"/>
    <x v="2"/>
    <x v="0"/>
    <x v="4"/>
    <x v="4"/>
    <d v="2020-02-20T00:00:00"/>
    <s v="D"/>
    <s v="name@company.org"/>
    <s v="123-456-7890"/>
    <x v="0"/>
    <x v="2"/>
    <x v="0"/>
    <x v="0"/>
    <x v="0"/>
  </r>
  <r>
    <x v="7"/>
    <x v="3"/>
    <x v="1"/>
    <x v="2"/>
    <x v="1"/>
    <x v="0"/>
    <d v="2020-02-20T00:00:00"/>
    <s v="D"/>
    <s v="name@company.org"/>
    <s v="123-456-7890"/>
    <x v="0"/>
    <x v="1"/>
    <x v="0"/>
    <x v="0"/>
    <x v="0"/>
  </r>
  <r>
    <x v="7"/>
    <x v="0"/>
    <x v="3"/>
    <x v="0"/>
    <x v="0"/>
    <x v="2"/>
    <d v="2020-02-20T00:00:00"/>
    <s v="A"/>
    <s v="Not Available"/>
    <s v="123-456-7890"/>
    <x v="0"/>
    <x v="0"/>
    <x v="1"/>
    <x v="1"/>
    <x v="1"/>
  </r>
  <r>
    <x v="0"/>
    <x v="3"/>
    <x v="3"/>
    <x v="0"/>
    <x v="1"/>
    <x v="3"/>
    <d v="2020-02-20T00:00:00"/>
    <s v="A"/>
    <s v="email@example.com"/>
    <s v="555-555-5555"/>
    <x v="0"/>
    <x v="0"/>
    <x v="1"/>
    <x v="1"/>
    <x v="1"/>
  </r>
  <r>
    <x v="7"/>
    <x v="0"/>
    <x v="1"/>
    <x v="1"/>
    <x v="3"/>
    <x v="2"/>
    <d v="2020-02-20T00:00:00"/>
    <s v="D"/>
    <s v="Not Available"/>
    <s v="123-456-7890"/>
    <x v="0"/>
    <x v="1"/>
    <x v="0"/>
    <x v="0"/>
    <x v="0"/>
  </r>
  <r>
    <x v="9"/>
    <x v="0"/>
    <x v="0"/>
    <x v="0"/>
    <x v="4"/>
    <x v="3"/>
    <d v="2020-02-20T00:00:00"/>
    <s v="B"/>
    <s v="Not Available"/>
    <s v="Not Available"/>
    <x v="0"/>
    <x v="0"/>
    <x v="2"/>
    <x v="1"/>
    <x v="0"/>
  </r>
  <r>
    <x v="2"/>
    <x v="2"/>
    <x v="4"/>
    <x v="1"/>
    <x v="0"/>
    <x v="3"/>
    <d v="2020-02-20T00:00:00"/>
    <s v="B"/>
    <s v="Not Available"/>
    <s v="Not Available"/>
    <x v="0"/>
    <x v="1"/>
    <x v="2"/>
    <x v="1"/>
    <x v="0"/>
  </r>
  <r>
    <x v="8"/>
    <x v="4"/>
    <x v="0"/>
    <x v="2"/>
    <x v="1"/>
    <x v="4"/>
    <d v="2020-02-20T00:00:00"/>
    <s v="B"/>
    <s v="name@company.org"/>
    <s v="098-765-4321"/>
    <x v="0"/>
    <x v="0"/>
    <x v="2"/>
    <x v="1"/>
    <x v="0"/>
  </r>
  <r>
    <x v="7"/>
    <x v="1"/>
    <x v="0"/>
    <x v="2"/>
    <x v="0"/>
    <x v="0"/>
    <d v="2020-02-20T00:00:00"/>
    <s v="D"/>
    <s v="Not Available"/>
    <s v="Not Available"/>
    <x v="0"/>
    <x v="0"/>
    <x v="0"/>
    <x v="0"/>
    <x v="0"/>
  </r>
  <r>
    <x v="1"/>
    <x v="2"/>
    <x v="5"/>
    <x v="1"/>
    <x v="3"/>
    <x v="2"/>
    <d v="2020-02-20T00:00:00"/>
    <s v="B"/>
    <s v="Not Available"/>
    <s v="Not Available"/>
    <x v="0"/>
    <x v="2"/>
    <x v="2"/>
    <x v="1"/>
    <x v="0"/>
  </r>
  <r>
    <x v="2"/>
    <x v="0"/>
    <x v="2"/>
    <x v="2"/>
    <x v="4"/>
    <x v="0"/>
    <d v="2020-02-20T00:00:00"/>
    <s v="D"/>
    <s v="user@domain.com"/>
    <s v="Not Available"/>
    <x v="0"/>
    <x v="2"/>
    <x v="0"/>
    <x v="0"/>
    <x v="0"/>
  </r>
  <r>
    <x v="3"/>
    <x v="1"/>
    <x v="4"/>
    <x v="1"/>
    <x v="0"/>
    <x v="4"/>
    <d v="2020-02-20T00:00:00"/>
    <s v="A"/>
    <s v="Not Available"/>
    <s v="098-765-4321"/>
    <x v="0"/>
    <x v="1"/>
    <x v="1"/>
    <x v="1"/>
    <x v="1"/>
  </r>
  <r>
    <x v="7"/>
    <x v="0"/>
    <x v="2"/>
    <x v="0"/>
    <x v="1"/>
    <x v="4"/>
    <d v="2020-02-20T00:00:00"/>
    <s v="C"/>
    <s v="Not Available"/>
    <s v="Not Available"/>
    <x v="0"/>
    <x v="2"/>
    <x v="2"/>
    <x v="1"/>
    <x v="0"/>
  </r>
  <r>
    <x v="2"/>
    <x v="1"/>
    <x v="3"/>
    <x v="2"/>
    <x v="3"/>
    <x v="0"/>
    <d v="2020-02-20T00:00:00"/>
    <s v="D"/>
    <s v="user@domain.com"/>
    <s v="Not Available"/>
    <x v="0"/>
    <x v="0"/>
    <x v="0"/>
    <x v="0"/>
    <x v="0"/>
  </r>
  <r>
    <x v="6"/>
    <x v="2"/>
    <x v="4"/>
    <x v="0"/>
    <x v="4"/>
    <x v="3"/>
    <d v="2020-02-20T00:00:00"/>
    <s v="A"/>
    <s v="Not Available"/>
    <s v="123-456-7890"/>
    <x v="0"/>
    <x v="1"/>
    <x v="1"/>
    <x v="1"/>
    <x v="1"/>
  </r>
  <r>
    <x v="5"/>
    <x v="1"/>
    <x v="1"/>
    <x v="1"/>
    <x v="1"/>
    <x v="0"/>
    <d v="2020-02-20T00:00:00"/>
    <s v="C"/>
    <s v="name@company.org"/>
    <s v="555-555-5555"/>
    <x v="0"/>
    <x v="1"/>
    <x v="2"/>
    <x v="1"/>
    <x v="0"/>
  </r>
  <r>
    <x v="3"/>
    <x v="3"/>
    <x v="1"/>
    <x v="2"/>
    <x v="2"/>
    <x v="4"/>
    <d v="2020-02-20T00:00:00"/>
    <s v="A"/>
    <s v="Not Available"/>
    <s v="123-456-7890"/>
    <x v="0"/>
    <x v="1"/>
    <x v="1"/>
    <x v="1"/>
    <x v="1"/>
  </r>
  <r>
    <x v="9"/>
    <x v="0"/>
    <x v="1"/>
    <x v="2"/>
    <x v="0"/>
    <x v="1"/>
    <d v="2020-02-20T00:00:00"/>
    <s v="B"/>
    <s v="name@company.org"/>
    <s v="098-765-4321"/>
    <x v="0"/>
    <x v="1"/>
    <x v="2"/>
    <x v="1"/>
    <x v="0"/>
  </r>
  <r>
    <x v="4"/>
    <x v="0"/>
    <x v="2"/>
    <x v="0"/>
    <x v="2"/>
    <x v="0"/>
    <d v="2020-02-20T00:00:00"/>
    <s v="C"/>
    <s v="user@domain.com"/>
    <s v="555-555-5555"/>
    <x v="0"/>
    <x v="2"/>
    <x v="2"/>
    <x v="1"/>
    <x v="0"/>
  </r>
  <r>
    <x v="3"/>
    <x v="1"/>
    <x v="0"/>
    <x v="0"/>
    <x v="4"/>
    <x v="3"/>
    <d v="2020-02-20T00:00:00"/>
    <s v="B"/>
    <s v="Not Available"/>
    <s v="098-765-4321"/>
    <x v="0"/>
    <x v="0"/>
    <x v="2"/>
    <x v="1"/>
    <x v="0"/>
  </r>
  <r>
    <x v="8"/>
    <x v="2"/>
    <x v="2"/>
    <x v="2"/>
    <x v="2"/>
    <x v="0"/>
    <d v="2020-02-20T00:00:00"/>
    <s v="D"/>
    <s v="Not Available"/>
    <s v="555-555-5555"/>
    <x v="0"/>
    <x v="2"/>
    <x v="0"/>
    <x v="0"/>
    <x v="0"/>
  </r>
  <r>
    <x v="0"/>
    <x v="4"/>
    <x v="3"/>
    <x v="1"/>
    <x v="4"/>
    <x v="3"/>
    <d v="2020-02-20T00:00:00"/>
    <s v="A"/>
    <s v="Not Available"/>
    <s v="098-765-4321"/>
    <x v="0"/>
    <x v="0"/>
    <x v="1"/>
    <x v="1"/>
    <x v="1"/>
  </r>
  <r>
    <x v="8"/>
    <x v="2"/>
    <x v="4"/>
    <x v="1"/>
    <x v="0"/>
    <x v="1"/>
    <d v="2020-02-20T00:00:00"/>
    <s v="F"/>
    <s v="name@company.org"/>
    <s v="098-765-4321"/>
    <x v="0"/>
    <x v="1"/>
    <x v="0"/>
    <x v="0"/>
    <x v="0"/>
  </r>
  <r>
    <x v="0"/>
    <x v="4"/>
    <x v="4"/>
    <x v="1"/>
    <x v="0"/>
    <x v="1"/>
    <d v="2020-02-20T00:00:00"/>
    <s v="B"/>
    <s v="email@example.com"/>
    <s v="Not Available"/>
    <x v="0"/>
    <x v="1"/>
    <x v="2"/>
    <x v="1"/>
    <x v="0"/>
  </r>
  <r>
    <x v="0"/>
    <x v="1"/>
    <x v="3"/>
    <x v="1"/>
    <x v="1"/>
    <x v="3"/>
    <d v="2020-02-20T00:00:00"/>
    <s v="B"/>
    <s v="Not Available"/>
    <s v="555-555-5555"/>
    <x v="0"/>
    <x v="0"/>
    <x v="2"/>
    <x v="1"/>
    <x v="0"/>
  </r>
  <r>
    <x v="6"/>
    <x v="0"/>
    <x v="3"/>
    <x v="0"/>
    <x v="0"/>
    <x v="2"/>
    <d v="2020-02-20T00:00:00"/>
    <s v="D"/>
    <s v="email@example.com"/>
    <s v="098-765-4321"/>
    <x v="0"/>
    <x v="0"/>
    <x v="0"/>
    <x v="0"/>
    <x v="0"/>
  </r>
  <r>
    <x v="9"/>
    <x v="0"/>
    <x v="2"/>
    <x v="0"/>
    <x v="4"/>
    <x v="1"/>
    <d v="2020-02-20T00:00:00"/>
    <s v="C"/>
    <s v="user@domain.com"/>
    <s v="Not Available"/>
    <x v="0"/>
    <x v="2"/>
    <x v="2"/>
    <x v="1"/>
    <x v="0"/>
  </r>
  <r>
    <x v="1"/>
    <x v="0"/>
    <x v="2"/>
    <x v="0"/>
    <x v="0"/>
    <x v="4"/>
    <d v="2020-02-20T00:00:00"/>
    <s v="A"/>
    <s v="name@company.org"/>
    <s v="123-456-7890"/>
    <x v="0"/>
    <x v="2"/>
    <x v="1"/>
    <x v="1"/>
    <x v="1"/>
  </r>
  <r>
    <x v="3"/>
    <x v="3"/>
    <x v="0"/>
    <x v="2"/>
    <x v="0"/>
    <x v="4"/>
    <d v="2020-02-20T00:00:00"/>
    <s v="C"/>
    <s v="name@company.org"/>
    <s v="Not Available"/>
    <x v="0"/>
    <x v="0"/>
    <x v="2"/>
    <x v="1"/>
    <x v="0"/>
  </r>
  <r>
    <x v="8"/>
    <x v="4"/>
    <x v="1"/>
    <x v="0"/>
    <x v="3"/>
    <x v="0"/>
    <d v="2020-02-20T00:00:00"/>
    <s v="D"/>
    <s v="Not Available"/>
    <s v="098-765-4321"/>
    <x v="0"/>
    <x v="1"/>
    <x v="0"/>
    <x v="0"/>
    <x v="0"/>
  </r>
  <r>
    <x v="9"/>
    <x v="2"/>
    <x v="4"/>
    <x v="1"/>
    <x v="3"/>
    <x v="2"/>
    <d v="2020-02-20T00:00:00"/>
    <s v="F"/>
    <s v="email@example.com"/>
    <s v="Not Available"/>
    <x v="0"/>
    <x v="1"/>
    <x v="0"/>
    <x v="0"/>
    <x v="0"/>
  </r>
  <r>
    <x v="2"/>
    <x v="3"/>
    <x v="1"/>
    <x v="0"/>
    <x v="2"/>
    <x v="2"/>
    <d v="2020-02-20T00:00:00"/>
    <s v="B"/>
    <s v="Not Available"/>
    <s v="Not Available"/>
    <x v="0"/>
    <x v="1"/>
    <x v="2"/>
    <x v="1"/>
    <x v="0"/>
  </r>
  <r>
    <x v="0"/>
    <x v="1"/>
    <x v="5"/>
    <x v="0"/>
    <x v="2"/>
    <x v="1"/>
    <d v="2020-02-20T00:00:00"/>
    <s v="C"/>
    <s v="user@domain.com"/>
    <s v="Not Available"/>
    <x v="0"/>
    <x v="2"/>
    <x v="2"/>
    <x v="1"/>
    <x v="0"/>
  </r>
  <r>
    <x v="1"/>
    <x v="4"/>
    <x v="0"/>
    <x v="2"/>
    <x v="0"/>
    <x v="0"/>
    <d v="2020-02-20T00:00:00"/>
    <s v="C"/>
    <s v="email@example.com"/>
    <s v="Not Available"/>
    <x v="0"/>
    <x v="0"/>
    <x v="2"/>
    <x v="1"/>
    <x v="0"/>
  </r>
  <r>
    <x v="4"/>
    <x v="2"/>
    <x v="1"/>
    <x v="2"/>
    <x v="4"/>
    <x v="2"/>
    <d v="2020-02-20T00:00:00"/>
    <s v="B"/>
    <s v="Not Available"/>
    <s v="555-555-5555"/>
    <x v="0"/>
    <x v="1"/>
    <x v="2"/>
    <x v="1"/>
    <x v="0"/>
  </r>
  <r>
    <x v="0"/>
    <x v="2"/>
    <x v="1"/>
    <x v="1"/>
    <x v="0"/>
    <x v="3"/>
    <d v="2020-02-20T00:00:00"/>
    <s v="D"/>
    <s v="email@example.com"/>
    <s v="098-765-4321"/>
    <x v="0"/>
    <x v="1"/>
    <x v="0"/>
    <x v="0"/>
    <x v="0"/>
  </r>
  <r>
    <x v="4"/>
    <x v="2"/>
    <x v="5"/>
    <x v="0"/>
    <x v="4"/>
    <x v="3"/>
    <d v="2020-02-20T00:00:00"/>
    <s v="A"/>
    <s v="email@example.com"/>
    <s v="123-456-7890"/>
    <x v="0"/>
    <x v="2"/>
    <x v="1"/>
    <x v="1"/>
    <x v="1"/>
  </r>
  <r>
    <x v="6"/>
    <x v="1"/>
    <x v="0"/>
    <x v="1"/>
    <x v="2"/>
    <x v="3"/>
    <d v="2020-02-20T00:00:00"/>
    <s v="D"/>
    <s v="email@example.com"/>
    <s v="098-765-4321"/>
    <x v="0"/>
    <x v="0"/>
    <x v="0"/>
    <x v="0"/>
    <x v="0"/>
  </r>
  <r>
    <x v="3"/>
    <x v="4"/>
    <x v="0"/>
    <x v="1"/>
    <x v="4"/>
    <x v="4"/>
    <d v="2020-02-20T00:00:00"/>
    <s v="C"/>
    <s v="email@example.com"/>
    <s v="555-555-5555"/>
    <x v="0"/>
    <x v="0"/>
    <x v="2"/>
    <x v="1"/>
    <x v="0"/>
  </r>
  <r>
    <x v="2"/>
    <x v="0"/>
    <x v="0"/>
    <x v="2"/>
    <x v="0"/>
    <x v="0"/>
    <d v="2020-02-20T00:00:00"/>
    <s v="F"/>
    <s v="name@company.org"/>
    <s v="Not Available"/>
    <x v="0"/>
    <x v="0"/>
    <x v="0"/>
    <x v="0"/>
    <x v="0"/>
  </r>
  <r>
    <x v="3"/>
    <x v="0"/>
    <x v="1"/>
    <x v="0"/>
    <x v="1"/>
    <x v="0"/>
    <d v="2020-02-20T00:00:00"/>
    <s v="C"/>
    <s v="Not Available"/>
    <s v="123-456-7890"/>
    <x v="0"/>
    <x v="1"/>
    <x v="2"/>
    <x v="1"/>
    <x v="0"/>
  </r>
  <r>
    <x v="9"/>
    <x v="3"/>
    <x v="2"/>
    <x v="2"/>
    <x v="1"/>
    <x v="0"/>
    <d v="2020-02-20T00:00:00"/>
    <s v="B"/>
    <s v="Not Available"/>
    <s v="123-456-7890"/>
    <x v="0"/>
    <x v="2"/>
    <x v="2"/>
    <x v="1"/>
    <x v="0"/>
  </r>
  <r>
    <x v="0"/>
    <x v="3"/>
    <x v="1"/>
    <x v="2"/>
    <x v="4"/>
    <x v="1"/>
    <d v="2020-02-20T00:00:00"/>
    <s v="C"/>
    <s v="Not Available"/>
    <s v="555-555-5555"/>
    <x v="0"/>
    <x v="1"/>
    <x v="2"/>
    <x v="1"/>
    <x v="0"/>
  </r>
  <r>
    <x v="7"/>
    <x v="4"/>
    <x v="3"/>
    <x v="1"/>
    <x v="3"/>
    <x v="2"/>
    <d v="2020-02-20T00:00:00"/>
    <s v="F"/>
    <s v="Not Available"/>
    <s v="555-555-5555"/>
    <x v="0"/>
    <x v="0"/>
    <x v="0"/>
    <x v="0"/>
    <x v="0"/>
  </r>
  <r>
    <x v="4"/>
    <x v="1"/>
    <x v="4"/>
    <x v="2"/>
    <x v="1"/>
    <x v="3"/>
    <d v="2020-02-20T00:00:00"/>
    <s v="D"/>
    <s v="Not Available"/>
    <s v="123-456-7890"/>
    <x v="0"/>
    <x v="1"/>
    <x v="0"/>
    <x v="0"/>
    <x v="0"/>
  </r>
  <r>
    <x v="6"/>
    <x v="0"/>
    <x v="3"/>
    <x v="1"/>
    <x v="3"/>
    <x v="4"/>
    <d v="2020-02-20T00:00:00"/>
    <s v="A"/>
    <s v="Not Available"/>
    <s v="555-555-5555"/>
    <x v="0"/>
    <x v="0"/>
    <x v="1"/>
    <x v="1"/>
    <x v="1"/>
  </r>
  <r>
    <x v="2"/>
    <x v="0"/>
    <x v="1"/>
    <x v="0"/>
    <x v="3"/>
    <x v="4"/>
    <d v="2020-02-20T00:00:00"/>
    <s v="C"/>
    <s v="email@example.com"/>
    <s v="Not Available"/>
    <x v="0"/>
    <x v="1"/>
    <x v="2"/>
    <x v="1"/>
    <x v="0"/>
  </r>
  <r>
    <x v="9"/>
    <x v="0"/>
    <x v="3"/>
    <x v="1"/>
    <x v="1"/>
    <x v="4"/>
    <d v="2020-02-20T00:00:00"/>
    <s v="D"/>
    <s v="Not Available"/>
    <s v="Not Available"/>
    <x v="0"/>
    <x v="0"/>
    <x v="0"/>
    <x v="0"/>
    <x v="0"/>
  </r>
  <r>
    <x v="0"/>
    <x v="4"/>
    <x v="0"/>
    <x v="1"/>
    <x v="0"/>
    <x v="1"/>
    <d v="2020-02-20T00:00:00"/>
    <s v="A"/>
    <s v="Not Available"/>
    <s v="Not Available"/>
    <x v="0"/>
    <x v="0"/>
    <x v="1"/>
    <x v="1"/>
    <x v="1"/>
  </r>
  <r>
    <x v="3"/>
    <x v="0"/>
    <x v="5"/>
    <x v="1"/>
    <x v="1"/>
    <x v="0"/>
    <d v="2020-02-20T00:00:00"/>
    <s v="A"/>
    <s v="name@company.org"/>
    <s v="098-765-4321"/>
    <x v="0"/>
    <x v="2"/>
    <x v="1"/>
    <x v="1"/>
    <x v="1"/>
  </r>
  <r>
    <x v="6"/>
    <x v="0"/>
    <x v="5"/>
    <x v="0"/>
    <x v="4"/>
    <x v="3"/>
    <d v="2020-02-20T00:00:00"/>
    <s v="D"/>
    <s v="Not Available"/>
    <s v="Not Available"/>
    <x v="0"/>
    <x v="2"/>
    <x v="0"/>
    <x v="0"/>
    <x v="0"/>
  </r>
  <r>
    <x v="7"/>
    <x v="1"/>
    <x v="0"/>
    <x v="2"/>
    <x v="4"/>
    <x v="1"/>
    <d v="2020-02-20T00:00:00"/>
    <s v="C"/>
    <s v="user@domain.com"/>
    <s v="555-555-5555"/>
    <x v="0"/>
    <x v="0"/>
    <x v="2"/>
    <x v="1"/>
    <x v="0"/>
  </r>
  <r>
    <x v="1"/>
    <x v="4"/>
    <x v="0"/>
    <x v="2"/>
    <x v="2"/>
    <x v="1"/>
    <d v="2020-02-20T00:00:00"/>
    <s v="F"/>
    <s v="Not Available"/>
    <s v="555-555-5555"/>
    <x v="0"/>
    <x v="0"/>
    <x v="0"/>
    <x v="0"/>
    <x v="0"/>
  </r>
  <r>
    <x v="7"/>
    <x v="2"/>
    <x v="0"/>
    <x v="0"/>
    <x v="2"/>
    <x v="0"/>
    <d v="2020-02-20T00:00:00"/>
    <s v="B"/>
    <s v="Not Available"/>
    <s v="Not Available"/>
    <x v="0"/>
    <x v="0"/>
    <x v="2"/>
    <x v="1"/>
    <x v="0"/>
  </r>
  <r>
    <x v="5"/>
    <x v="0"/>
    <x v="5"/>
    <x v="2"/>
    <x v="3"/>
    <x v="1"/>
    <d v="2020-02-20T00:00:00"/>
    <s v="F"/>
    <s v="name@company.org"/>
    <s v="123-456-7890"/>
    <x v="0"/>
    <x v="2"/>
    <x v="0"/>
    <x v="0"/>
    <x v="0"/>
  </r>
  <r>
    <x v="5"/>
    <x v="4"/>
    <x v="0"/>
    <x v="2"/>
    <x v="4"/>
    <x v="1"/>
    <d v="2020-02-20T00:00:00"/>
    <s v="B"/>
    <s v="Not Available"/>
    <s v="123-456-7890"/>
    <x v="0"/>
    <x v="0"/>
    <x v="2"/>
    <x v="1"/>
    <x v="0"/>
  </r>
  <r>
    <x v="4"/>
    <x v="1"/>
    <x v="0"/>
    <x v="1"/>
    <x v="3"/>
    <x v="1"/>
    <d v="2020-02-20T00:00:00"/>
    <s v="C"/>
    <s v="user@domain.com"/>
    <s v="Not Available"/>
    <x v="0"/>
    <x v="0"/>
    <x v="2"/>
    <x v="1"/>
    <x v="0"/>
  </r>
  <r>
    <x v="1"/>
    <x v="0"/>
    <x v="1"/>
    <x v="1"/>
    <x v="4"/>
    <x v="4"/>
    <d v="2020-02-20T00:00:00"/>
    <s v="B"/>
    <s v="Not Available"/>
    <s v="Not Available"/>
    <x v="0"/>
    <x v="1"/>
    <x v="2"/>
    <x v="1"/>
    <x v="0"/>
  </r>
  <r>
    <x v="1"/>
    <x v="4"/>
    <x v="5"/>
    <x v="0"/>
    <x v="3"/>
    <x v="4"/>
    <d v="2020-02-20T00:00:00"/>
    <s v="B"/>
    <s v="Not Available"/>
    <s v="555-555-5555"/>
    <x v="0"/>
    <x v="2"/>
    <x v="2"/>
    <x v="1"/>
    <x v="0"/>
  </r>
  <r>
    <x v="2"/>
    <x v="0"/>
    <x v="5"/>
    <x v="1"/>
    <x v="2"/>
    <x v="1"/>
    <d v="2020-02-20T00:00:00"/>
    <s v="C"/>
    <s v="email@example.com"/>
    <s v="098-765-4321"/>
    <x v="0"/>
    <x v="2"/>
    <x v="2"/>
    <x v="1"/>
    <x v="0"/>
  </r>
  <r>
    <x v="1"/>
    <x v="1"/>
    <x v="5"/>
    <x v="1"/>
    <x v="4"/>
    <x v="4"/>
    <d v="2020-02-20T00:00:00"/>
    <s v="B"/>
    <s v="Not Available"/>
    <s v="Not Available"/>
    <x v="0"/>
    <x v="2"/>
    <x v="2"/>
    <x v="1"/>
    <x v="0"/>
  </r>
  <r>
    <x v="3"/>
    <x v="1"/>
    <x v="5"/>
    <x v="1"/>
    <x v="4"/>
    <x v="3"/>
    <d v="2020-02-20T00:00:00"/>
    <s v="A"/>
    <s v="user@domain.com"/>
    <s v="098-765-4321"/>
    <x v="0"/>
    <x v="2"/>
    <x v="1"/>
    <x v="1"/>
    <x v="1"/>
  </r>
  <r>
    <x v="1"/>
    <x v="4"/>
    <x v="4"/>
    <x v="2"/>
    <x v="1"/>
    <x v="1"/>
    <d v="2020-02-20T00:00:00"/>
    <s v="B"/>
    <s v="name@company.org"/>
    <s v="123-456-7890"/>
    <x v="0"/>
    <x v="1"/>
    <x v="2"/>
    <x v="1"/>
    <x v="0"/>
  </r>
  <r>
    <x v="5"/>
    <x v="0"/>
    <x v="3"/>
    <x v="1"/>
    <x v="4"/>
    <x v="2"/>
    <d v="2020-02-20T00:00:00"/>
    <s v="D"/>
    <s v="email@example.com"/>
    <s v="Not Available"/>
    <x v="0"/>
    <x v="0"/>
    <x v="0"/>
    <x v="0"/>
    <x v="0"/>
  </r>
  <r>
    <x v="5"/>
    <x v="2"/>
    <x v="0"/>
    <x v="0"/>
    <x v="2"/>
    <x v="0"/>
    <d v="2020-02-20T00:00:00"/>
    <s v="A"/>
    <s v="email@example.com"/>
    <s v="Not Available"/>
    <x v="0"/>
    <x v="0"/>
    <x v="1"/>
    <x v="1"/>
    <x v="1"/>
  </r>
  <r>
    <x v="6"/>
    <x v="4"/>
    <x v="4"/>
    <x v="2"/>
    <x v="1"/>
    <x v="4"/>
    <d v="2020-02-20T00:00:00"/>
    <s v="A"/>
    <s v="Not Available"/>
    <s v="Not Available"/>
    <x v="0"/>
    <x v="1"/>
    <x v="1"/>
    <x v="1"/>
    <x v="1"/>
  </r>
  <r>
    <x v="1"/>
    <x v="0"/>
    <x v="3"/>
    <x v="1"/>
    <x v="3"/>
    <x v="4"/>
    <d v="2020-02-20T00:00:00"/>
    <s v="F"/>
    <s v="name@company.org"/>
    <s v="Not Available"/>
    <x v="0"/>
    <x v="0"/>
    <x v="0"/>
    <x v="0"/>
    <x v="0"/>
  </r>
  <r>
    <x v="7"/>
    <x v="0"/>
    <x v="2"/>
    <x v="0"/>
    <x v="0"/>
    <x v="3"/>
    <d v="2020-02-20T00:00:00"/>
    <s v="A"/>
    <s v="user@domain.com"/>
    <s v="123-456-7890"/>
    <x v="0"/>
    <x v="2"/>
    <x v="1"/>
    <x v="1"/>
    <x v="1"/>
  </r>
  <r>
    <x v="4"/>
    <x v="1"/>
    <x v="5"/>
    <x v="1"/>
    <x v="4"/>
    <x v="2"/>
    <d v="2020-02-20T00:00:00"/>
    <s v="F"/>
    <s v="name@company.org"/>
    <s v="Not Available"/>
    <x v="0"/>
    <x v="2"/>
    <x v="0"/>
    <x v="0"/>
    <x v="0"/>
  </r>
  <r>
    <x v="5"/>
    <x v="1"/>
    <x v="2"/>
    <x v="0"/>
    <x v="0"/>
    <x v="4"/>
    <d v="2020-02-20T00:00:00"/>
    <s v="B"/>
    <s v="Not Available"/>
    <s v="098-765-4321"/>
    <x v="0"/>
    <x v="2"/>
    <x v="2"/>
    <x v="1"/>
    <x v="0"/>
  </r>
  <r>
    <x v="4"/>
    <x v="1"/>
    <x v="0"/>
    <x v="1"/>
    <x v="4"/>
    <x v="2"/>
    <d v="2020-02-20T00:00:00"/>
    <s v="B"/>
    <s v="Not Available"/>
    <s v="555-555-5555"/>
    <x v="0"/>
    <x v="0"/>
    <x v="2"/>
    <x v="1"/>
    <x v="0"/>
  </r>
  <r>
    <x v="3"/>
    <x v="3"/>
    <x v="1"/>
    <x v="2"/>
    <x v="3"/>
    <x v="2"/>
    <d v="2020-02-20T00:00:00"/>
    <s v="A"/>
    <s v="user@domain.com"/>
    <s v="098-765-4321"/>
    <x v="0"/>
    <x v="1"/>
    <x v="1"/>
    <x v="1"/>
    <x v="1"/>
  </r>
  <r>
    <x v="3"/>
    <x v="4"/>
    <x v="5"/>
    <x v="0"/>
    <x v="1"/>
    <x v="4"/>
    <d v="2020-02-20T00:00:00"/>
    <s v="A"/>
    <s v="user@domain.com"/>
    <s v="123-456-7890"/>
    <x v="0"/>
    <x v="2"/>
    <x v="1"/>
    <x v="1"/>
    <x v="1"/>
  </r>
  <r>
    <x v="0"/>
    <x v="0"/>
    <x v="2"/>
    <x v="1"/>
    <x v="1"/>
    <x v="3"/>
    <d v="2020-02-20T00:00:00"/>
    <s v="D"/>
    <s v="name@company.org"/>
    <s v="555-555-5555"/>
    <x v="0"/>
    <x v="2"/>
    <x v="0"/>
    <x v="0"/>
    <x v="0"/>
  </r>
  <r>
    <x v="5"/>
    <x v="2"/>
    <x v="0"/>
    <x v="2"/>
    <x v="0"/>
    <x v="1"/>
    <d v="2020-02-20T00:00:00"/>
    <s v="F"/>
    <s v="user@domain.com"/>
    <s v="123-456-7890"/>
    <x v="0"/>
    <x v="0"/>
    <x v="0"/>
    <x v="0"/>
    <x v="0"/>
  </r>
  <r>
    <x v="9"/>
    <x v="3"/>
    <x v="2"/>
    <x v="1"/>
    <x v="2"/>
    <x v="0"/>
    <d v="2020-02-20T00:00:00"/>
    <s v="B"/>
    <s v="Not Available"/>
    <s v="098-765-4321"/>
    <x v="0"/>
    <x v="2"/>
    <x v="2"/>
    <x v="1"/>
    <x v="0"/>
  </r>
  <r>
    <x v="8"/>
    <x v="1"/>
    <x v="4"/>
    <x v="1"/>
    <x v="1"/>
    <x v="4"/>
    <d v="2020-02-20T00:00:00"/>
    <s v="B"/>
    <s v="user@domain.com"/>
    <s v="555-555-5555"/>
    <x v="0"/>
    <x v="1"/>
    <x v="2"/>
    <x v="1"/>
    <x v="0"/>
  </r>
  <r>
    <x v="1"/>
    <x v="2"/>
    <x v="2"/>
    <x v="1"/>
    <x v="2"/>
    <x v="1"/>
    <d v="2020-02-20T00:00:00"/>
    <s v="D"/>
    <s v="Not Available"/>
    <s v="123-456-7890"/>
    <x v="0"/>
    <x v="2"/>
    <x v="0"/>
    <x v="0"/>
    <x v="0"/>
  </r>
  <r>
    <x v="3"/>
    <x v="0"/>
    <x v="2"/>
    <x v="1"/>
    <x v="0"/>
    <x v="3"/>
    <d v="2020-02-20T00:00:00"/>
    <s v="D"/>
    <s v="name@company.org"/>
    <s v="098-765-4321"/>
    <x v="0"/>
    <x v="2"/>
    <x v="0"/>
    <x v="0"/>
    <x v="0"/>
  </r>
  <r>
    <x v="1"/>
    <x v="4"/>
    <x v="1"/>
    <x v="2"/>
    <x v="3"/>
    <x v="2"/>
    <d v="2020-02-20T00:00:00"/>
    <s v="A"/>
    <s v="Not Available"/>
    <s v="555-555-5555"/>
    <x v="0"/>
    <x v="1"/>
    <x v="1"/>
    <x v="1"/>
    <x v="1"/>
  </r>
  <r>
    <x v="2"/>
    <x v="0"/>
    <x v="5"/>
    <x v="2"/>
    <x v="1"/>
    <x v="1"/>
    <d v="2020-02-20T00:00:00"/>
    <s v="F"/>
    <s v="name@company.org"/>
    <s v="Not Available"/>
    <x v="0"/>
    <x v="2"/>
    <x v="0"/>
    <x v="0"/>
    <x v="0"/>
  </r>
  <r>
    <x v="4"/>
    <x v="2"/>
    <x v="3"/>
    <x v="1"/>
    <x v="1"/>
    <x v="0"/>
    <d v="2020-02-20T00:00:00"/>
    <s v="B"/>
    <s v="Not Available"/>
    <s v="098-765-4321"/>
    <x v="0"/>
    <x v="0"/>
    <x v="2"/>
    <x v="1"/>
    <x v="0"/>
  </r>
  <r>
    <x v="3"/>
    <x v="0"/>
    <x v="3"/>
    <x v="0"/>
    <x v="2"/>
    <x v="3"/>
    <d v="2020-02-20T00:00:00"/>
    <s v="B"/>
    <s v="Not Available"/>
    <s v="123-456-7890"/>
    <x v="0"/>
    <x v="0"/>
    <x v="2"/>
    <x v="1"/>
    <x v="0"/>
  </r>
  <r>
    <x v="0"/>
    <x v="0"/>
    <x v="3"/>
    <x v="0"/>
    <x v="1"/>
    <x v="3"/>
    <d v="2020-02-20T00:00:00"/>
    <s v="C"/>
    <s v="Not Available"/>
    <s v="123-456-7890"/>
    <x v="0"/>
    <x v="0"/>
    <x v="2"/>
    <x v="1"/>
    <x v="0"/>
  </r>
  <r>
    <x v="6"/>
    <x v="4"/>
    <x v="1"/>
    <x v="0"/>
    <x v="1"/>
    <x v="2"/>
    <d v="2020-02-20T00:00:00"/>
    <s v="D"/>
    <s v="Not Available"/>
    <s v="Not Available"/>
    <x v="0"/>
    <x v="1"/>
    <x v="0"/>
    <x v="0"/>
    <x v="0"/>
  </r>
  <r>
    <x v="5"/>
    <x v="4"/>
    <x v="0"/>
    <x v="1"/>
    <x v="2"/>
    <x v="3"/>
    <d v="2020-02-20T00:00:00"/>
    <s v="F"/>
    <s v="Not Available"/>
    <s v="Not Available"/>
    <x v="0"/>
    <x v="0"/>
    <x v="0"/>
    <x v="0"/>
    <x v="0"/>
  </r>
  <r>
    <x v="9"/>
    <x v="3"/>
    <x v="1"/>
    <x v="0"/>
    <x v="1"/>
    <x v="2"/>
    <d v="2020-02-20T00:00:00"/>
    <s v="B"/>
    <s v="user@domain.com"/>
    <s v="123-456-7890"/>
    <x v="0"/>
    <x v="1"/>
    <x v="2"/>
    <x v="1"/>
    <x v="0"/>
  </r>
  <r>
    <x v="5"/>
    <x v="0"/>
    <x v="4"/>
    <x v="1"/>
    <x v="1"/>
    <x v="3"/>
    <d v="2020-02-20T00:00:00"/>
    <s v="C"/>
    <s v="email@example.com"/>
    <s v="123-456-7890"/>
    <x v="0"/>
    <x v="1"/>
    <x v="2"/>
    <x v="1"/>
    <x v="0"/>
  </r>
  <r>
    <x v="2"/>
    <x v="1"/>
    <x v="3"/>
    <x v="0"/>
    <x v="0"/>
    <x v="2"/>
    <d v="2020-02-20T00:00:00"/>
    <s v="B"/>
    <s v="name@company.org"/>
    <s v="123-456-7890"/>
    <x v="0"/>
    <x v="0"/>
    <x v="2"/>
    <x v="1"/>
    <x v="0"/>
  </r>
  <r>
    <x v="6"/>
    <x v="0"/>
    <x v="0"/>
    <x v="2"/>
    <x v="2"/>
    <x v="2"/>
    <d v="2020-02-20T00:00:00"/>
    <s v="B"/>
    <s v="Not Available"/>
    <s v="555-555-5555"/>
    <x v="0"/>
    <x v="0"/>
    <x v="2"/>
    <x v="1"/>
    <x v="0"/>
  </r>
  <r>
    <x v="9"/>
    <x v="0"/>
    <x v="4"/>
    <x v="1"/>
    <x v="0"/>
    <x v="3"/>
    <d v="2020-02-20T00:00:00"/>
    <s v="F"/>
    <s v="Not Available"/>
    <s v="Not Available"/>
    <x v="0"/>
    <x v="1"/>
    <x v="0"/>
    <x v="0"/>
    <x v="0"/>
  </r>
  <r>
    <x v="3"/>
    <x v="0"/>
    <x v="4"/>
    <x v="1"/>
    <x v="3"/>
    <x v="3"/>
    <d v="2020-02-20T00:00:00"/>
    <s v="D"/>
    <s v="email@example.com"/>
    <s v="123-456-7890"/>
    <x v="0"/>
    <x v="1"/>
    <x v="0"/>
    <x v="0"/>
    <x v="0"/>
  </r>
  <r>
    <x v="8"/>
    <x v="3"/>
    <x v="1"/>
    <x v="2"/>
    <x v="0"/>
    <x v="1"/>
    <d v="2020-02-20T00:00:00"/>
    <s v="D"/>
    <s v="user@domain.com"/>
    <s v="Not Available"/>
    <x v="0"/>
    <x v="1"/>
    <x v="0"/>
    <x v="0"/>
    <x v="0"/>
  </r>
  <r>
    <x v="9"/>
    <x v="0"/>
    <x v="0"/>
    <x v="0"/>
    <x v="2"/>
    <x v="0"/>
    <d v="2020-02-20T00:00:00"/>
    <s v="A"/>
    <s v="Not Available"/>
    <s v="Not Available"/>
    <x v="0"/>
    <x v="0"/>
    <x v="1"/>
    <x v="1"/>
    <x v="1"/>
  </r>
  <r>
    <x v="5"/>
    <x v="4"/>
    <x v="2"/>
    <x v="0"/>
    <x v="0"/>
    <x v="1"/>
    <d v="2020-02-20T00:00:00"/>
    <s v="C"/>
    <s v="user@domain.com"/>
    <s v="555-555-5555"/>
    <x v="0"/>
    <x v="2"/>
    <x v="2"/>
    <x v="1"/>
    <x v="0"/>
  </r>
  <r>
    <x v="1"/>
    <x v="0"/>
    <x v="0"/>
    <x v="1"/>
    <x v="1"/>
    <x v="0"/>
    <d v="2020-02-20T00:00:00"/>
    <s v="C"/>
    <s v="Not Available"/>
    <s v="098-765-4321"/>
    <x v="0"/>
    <x v="0"/>
    <x v="2"/>
    <x v="1"/>
    <x v="0"/>
  </r>
  <r>
    <x v="8"/>
    <x v="0"/>
    <x v="4"/>
    <x v="1"/>
    <x v="0"/>
    <x v="1"/>
    <d v="2020-02-20T00:00:00"/>
    <s v="F"/>
    <s v="Not Available"/>
    <s v="123-456-7890"/>
    <x v="0"/>
    <x v="1"/>
    <x v="0"/>
    <x v="0"/>
    <x v="0"/>
  </r>
  <r>
    <x v="1"/>
    <x v="4"/>
    <x v="1"/>
    <x v="0"/>
    <x v="2"/>
    <x v="1"/>
    <d v="2020-02-20T00:00:00"/>
    <s v="B"/>
    <s v="user@domain.com"/>
    <s v="123-456-7890"/>
    <x v="0"/>
    <x v="1"/>
    <x v="2"/>
    <x v="1"/>
    <x v="0"/>
  </r>
  <r>
    <x v="9"/>
    <x v="2"/>
    <x v="2"/>
    <x v="1"/>
    <x v="0"/>
    <x v="0"/>
    <d v="2020-02-20T00:00:00"/>
    <s v="F"/>
    <s v="email@example.com"/>
    <s v="098-765-4321"/>
    <x v="0"/>
    <x v="2"/>
    <x v="0"/>
    <x v="0"/>
    <x v="0"/>
  </r>
  <r>
    <x v="9"/>
    <x v="2"/>
    <x v="2"/>
    <x v="1"/>
    <x v="0"/>
    <x v="4"/>
    <d v="2020-02-20T00:00:00"/>
    <s v="A"/>
    <s v="email@example.com"/>
    <s v="555-555-5555"/>
    <x v="0"/>
    <x v="2"/>
    <x v="1"/>
    <x v="1"/>
    <x v="1"/>
  </r>
  <r>
    <x v="3"/>
    <x v="0"/>
    <x v="1"/>
    <x v="0"/>
    <x v="0"/>
    <x v="4"/>
    <d v="2020-02-20T00:00:00"/>
    <s v="B"/>
    <s v="email@example.com"/>
    <s v="Not Available"/>
    <x v="0"/>
    <x v="1"/>
    <x v="2"/>
    <x v="1"/>
    <x v="0"/>
  </r>
  <r>
    <x v="6"/>
    <x v="0"/>
    <x v="5"/>
    <x v="1"/>
    <x v="2"/>
    <x v="2"/>
    <d v="2020-02-20T00:00:00"/>
    <s v="D"/>
    <s v="email@example.com"/>
    <s v="Not Available"/>
    <x v="0"/>
    <x v="2"/>
    <x v="0"/>
    <x v="0"/>
    <x v="0"/>
  </r>
  <r>
    <x v="8"/>
    <x v="0"/>
    <x v="3"/>
    <x v="0"/>
    <x v="0"/>
    <x v="4"/>
    <d v="2020-02-20T00:00:00"/>
    <s v="A"/>
    <s v="user@domain.com"/>
    <s v="098-765-4321"/>
    <x v="0"/>
    <x v="0"/>
    <x v="1"/>
    <x v="1"/>
    <x v="1"/>
  </r>
  <r>
    <x v="4"/>
    <x v="3"/>
    <x v="2"/>
    <x v="0"/>
    <x v="3"/>
    <x v="2"/>
    <d v="2020-02-20T00:00:00"/>
    <s v="A"/>
    <s v="Not Available"/>
    <s v="123-456-7890"/>
    <x v="0"/>
    <x v="2"/>
    <x v="1"/>
    <x v="1"/>
    <x v="1"/>
  </r>
  <r>
    <x v="1"/>
    <x v="2"/>
    <x v="3"/>
    <x v="2"/>
    <x v="4"/>
    <x v="0"/>
    <d v="2020-02-20T00:00:00"/>
    <s v="C"/>
    <s v="Not Available"/>
    <s v="555-555-5555"/>
    <x v="0"/>
    <x v="0"/>
    <x v="2"/>
    <x v="1"/>
    <x v="0"/>
  </r>
  <r>
    <x v="8"/>
    <x v="0"/>
    <x v="1"/>
    <x v="1"/>
    <x v="3"/>
    <x v="2"/>
    <d v="2020-02-20T00:00:00"/>
    <s v="D"/>
    <s v="name@company.org"/>
    <s v="555-555-5555"/>
    <x v="0"/>
    <x v="1"/>
    <x v="0"/>
    <x v="0"/>
    <x v="0"/>
  </r>
  <r>
    <x v="6"/>
    <x v="0"/>
    <x v="1"/>
    <x v="1"/>
    <x v="1"/>
    <x v="4"/>
    <d v="2020-02-20T00:00:00"/>
    <s v="F"/>
    <s v="Not Available"/>
    <s v="123-456-7890"/>
    <x v="0"/>
    <x v="1"/>
    <x v="0"/>
    <x v="0"/>
    <x v="0"/>
  </r>
  <r>
    <x v="2"/>
    <x v="3"/>
    <x v="1"/>
    <x v="1"/>
    <x v="3"/>
    <x v="0"/>
    <d v="2020-02-20T00:00:00"/>
    <s v="B"/>
    <s v="Not Available"/>
    <s v="Not Available"/>
    <x v="0"/>
    <x v="1"/>
    <x v="2"/>
    <x v="1"/>
    <x v="0"/>
  </r>
  <r>
    <x v="8"/>
    <x v="0"/>
    <x v="1"/>
    <x v="0"/>
    <x v="0"/>
    <x v="4"/>
    <d v="2020-02-20T00:00:00"/>
    <s v="A"/>
    <s v="user@domain.com"/>
    <s v="Not Available"/>
    <x v="0"/>
    <x v="1"/>
    <x v="1"/>
    <x v="1"/>
    <x v="1"/>
  </r>
  <r>
    <x v="9"/>
    <x v="4"/>
    <x v="0"/>
    <x v="0"/>
    <x v="4"/>
    <x v="2"/>
    <d v="2020-02-20T00:00:00"/>
    <s v="F"/>
    <s v="Not Available"/>
    <s v="555-555-5555"/>
    <x v="0"/>
    <x v="0"/>
    <x v="0"/>
    <x v="0"/>
    <x v="0"/>
  </r>
  <r>
    <x v="9"/>
    <x v="1"/>
    <x v="5"/>
    <x v="2"/>
    <x v="1"/>
    <x v="3"/>
    <d v="2020-02-20T00:00:00"/>
    <s v="A"/>
    <s v="Not Available"/>
    <s v="098-765-4321"/>
    <x v="0"/>
    <x v="2"/>
    <x v="1"/>
    <x v="1"/>
    <x v="1"/>
  </r>
  <r>
    <x v="3"/>
    <x v="2"/>
    <x v="2"/>
    <x v="1"/>
    <x v="3"/>
    <x v="4"/>
    <d v="2020-02-20T00:00:00"/>
    <s v="F"/>
    <s v="Not Available"/>
    <s v="Not Available"/>
    <x v="0"/>
    <x v="2"/>
    <x v="0"/>
    <x v="0"/>
    <x v="0"/>
  </r>
  <r>
    <x v="7"/>
    <x v="2"/>
    <x v="1"/>
    <x v="1"/>
    <x v="4"/>
    <x v="0"/>
    <d v="2020-02-20T00:00:00"/>
    <s v="A"/>
    <s v="Not Available"/>
    <s v="Not Available"/>
    <x v="0"/>
    <x v="1"/>
    <x v="1"/>
    <x v="1"/>
    <x v="1"/>
  </r>
  <r>
    <x v="6"/>
    <x v="2"/>
    <x v="0"/>
    <x v="0"/>
    <x v="0"/>
    <x v="0"/>
    <d v="2020-02-20T00:00:00"/>
    <s v="B"/>
    <s v="name@company.org"/>
    <s v="Not Available"/>
    <x v="0"/>
    <x v="0"/>
    <x v="2"/>
    <x v="1"/>
    <x v="0"/>
  </r>
  <r>
    <x v="2"/>
    <x v="2"/>
    <x v="0"/>
    <x v="1"/>
    <x v="2"/>
    <x v="0"/>
    <d v="2020-02-20T00:00:00"/>
    <s v="A"/>
    <s v="name@company.org"/>
    <s v="Not Available"/>
    <x v="0"/>
    <x v="0"/>
    <x v="1"/>
    <x v="1"/>
    <x v="1"/>
  </r>
  <r>
    <x v="8"/>
    <x v="1"/>
    <x v="0"/>
    <x v="2"/>
    <x v="4"/>
    <x v="4"/>
    <d v="2020-02-20T00:00:00"/>
    <s v="D"/>
    <s v="email@example.com"/>
    <s v="555-555-5555"/>
    <x v="0"/>
    <x v="0"/>
    <x v="0"/>
    <x v="0"/>
    <x v="0"/>
  </r>
  <r>
    <x v="6"/>
    <x v="1"/>
    <x v="1"/>
    <x v="1"/>
    <x v="4"/>
    <x v="4"/>
    <d v="2020-02-20T00:00:00"/>
    <s v="F"/>
    <s v="name@company.org"/>
    <s v="555-555-5555"/>
    <x v="0"/>
    <x v="1"/>
    <x v="0"/>
    <x v="0"/>
    <x v="0"/>
  </r>
  <r>
    <x v="5"/>
    <x v="0"/>
    <x v="5"/>
    <x v="1"/>
    <x v="4"/>
    <x v="4"/>
    <d v="2020-02-20T00:00:00"/>
    <s v="A"/>
    <s v="user@domain.com"/>
    <s v="555-555-5555"/>
    <x v="0"/>
    <x v="2"/>
    <x v="1"/>
    <x v="1"/>
    <x v="1"/>
  </r>
  <r>
    <x v="5"/>
    <x v="4"/>
    <x v="0"/>
    <x v="1"/>
    <x v="3"/>
    <x v="4"/>
    <d v="2020-02-20T00:00:00"/>
    <s v="D"/>
    <s v="name@company.org"/>
    <s v="123-456-7890"/>
    <x v="0"/>
    <x v="0"/>
    <x v="0"/>
    <x v="0"/>
    <x v="0"/>
  </r>
  <r>
    <x v="7"/>
    <x v="0"/>
    <x v="1"/>
    <x v="0"/>
    <x v="4"/>
    <x v="3"/>
    <d v="2020-02-20T00:00:00"/>
    <s v="C"/>
    <s v="Not Available"/>
    <s v="098-765-4321"/>
    <x v="0"/>
    <x v="1"/>
    <x v="2"/>
    <x v="1"/>
    <x v="0"/>
  </r>
  <r>
    <x v="9"/>
    <x v="3"/>
    <x v="1"/>
    <x v="1"/>
    <x v="1"/>
    <x v="4"/>
    <d v="2020-02-20T00:00:00"/>
    <s v="B"/>
    <s v="Not Available"/>
    <s v="123-456-7890"/>
    <x v="0"/>
    <x v="1"/>
    <x v="2"/>
    <x v="1"/>
    <x v="0"/>
  </r>
  <r>
    <x v="7"/>
    <x v="0"/>
    <x v="3"/>
    <x v="1"/>
    <x v="4"/>
    <x v="4"/>
    <d v="2020-02-20T00:00:00"/>
    <s v="A"/>
    <s v="user@domain.com"/>
    <s v="098-765-4321"/>
    <x v="0"/>
    <x v="0"/>
    <x v="1"/>
    <x v="1"/>
    <x v="1"/>
  </r>
  <r>
    <x v="3"/>
    <x v="0"/>
    <x v="2"/>
    <x v="1"/>
    <x v="1"/>
    <x v="4"/>
    <d v="2020-02-20T00:00:00"/>
    <s v="F"/>
    <s v="email@example.com"/>
    <s v="123-456-7890"/>
    <x v="0"/>
    <x v="2"/>
    <x v="0"/>
    <x v="0"/>
    <x v="0"/>
  </r>
  <r>
    <x v="4"/>
    <x v="3"/>
    <x v="4"/>
    <x v="0"/>
    <x v="0"/>
    <x v="0"/>
    <d v="2020-02-20T00:00:00"/>
    <s v="D"/>
    <s v="Not Available"/>
    <s v="098-765-4321"/>
    <x v="0"/>
    <x v="1"/>
    <x v="0"/>
    <x v="0"/>
    <x v="0"/>
  </r>
  <r>
    <x v="7"/>
    <x v="0"/>
    <x v="1"/>
    <x v="2"/>
    <x v="2"/>
    <x v="3"/>
    <d v="2020-02-20T00:00:00"/>
    <s v="F"/>
    <s v="name@company.org"/>
    <s v="123-456-7890"/>
    <x v="0"/>
    <x v="1"/>
    <x v="0"/>
    <x v="0"/>
    <x v="0"/>
  </r>
  <r>
    <x v="2"/>
    <x v="3"/>
    <x v="3"/>
    <x v="2"/>
    <x v="3"/>
    <x v="4"/>
    <d v="2020-02-20T00:00:00"/>
    <s v="D"/>
    <s v="Not Available"/>
    <s v="Not Available"/>
    <x v="0"/>
    <x v="0"/>
    <x v="0"/>
    <x v="0"/>
    <x v="0"/>
  </r>
  <r>
    <x v="3"/>
    <x v="2"/>
    <x v="4"/>
    <x v="2"/>
    <x v="4"/>
    <x v="0"/>
    <d v="2020-02-20T00:00:00"/>
    <s v="F"/>
    <s v="Not Available"/>
    <s v="555-555-5555"/>
    <x v="0"/>
    <x v="1"/>
    <x v="0"/>
    <x v="0"/>
    <x v="0"/>
  </r>
  <r>
    <x v="8"/>
    <x v="0"/>
    <x v="3"/>
    <x v="1"/>
    <x v="0"/>
    <x v="2"/>
    <d v="2020-02-20T00:00:00"/>
    <s v="F"/>
    <s v="name@company.org"/>
    <s v="Not Available"/>
    <x v="0"/>
    <x v="0"/>
    <x v="0"/>
    <x v="0"/>
    <x v="0"/>
  </r>
  <r>
    <x v="4"/>
    <x v="0"/>
    <x v="2"/>
    <x v="2"/>
    <x v="0"/>
    <x v="4"/>
    <d v="2020-02-20T00:00:00"/>
    <s v="B"/>
    <s v="email@example.com"/>
    <s v="Not Available"/>
    <x v="0"/>
    <x v="2"/>
    <x v="2"/>
    <x v="1"/>
    <x v="0"/>
  </r>
  <r>
    <x v="5"/>
    <x v="4"/>
    <x v="4"/>
    <x v="0"/>
    <x v="0"/>
    <x v="2"/>
    <d v="2020-02-20T00:00:00"/>
    <s v="F"/>
    <s v="Not Available"/>
    <s v="098-765-4321"/>
    <x v="0"/>
    <x v="1"/>
    <x v="0"/>
    <x v="0"/>
    <x v="0"/>
  </r>
  <r>
    <x v="5"/>
    <x v="0"/>
    <x v="5"/>
    <x v="2"/>
    <x v="4"/>
    <x v="0"/>
    <d v="2020-02-20T00:00:00"/>
    <s v="A"/>
    <s v="Not Available"/>
    <s v="Not Available"/>
    <x v="0"/>
    <x v="2"/>
    <x v="1"/>
    <x v="1"/>
    <x v="1"/>
  </r>
  <r>
    <x v="3"/>
    <x v="4"/>
    <x v="1"/>
    <x v="1"/>
    <x v="0"/>
    <x v="3"/>
    <d v="2020-02-20T00:00:00"/>
    <s v="A"/>
    <s v="name@company.org"/>
    <s v="098-765-4321"/>
    <x v="0"/>
    <x v="1"/>
    <x v="1"/>
    <x v="1"/>
    <x v="1"/>
  </r>
  <r>
    <x v="6"/>
    <x v="1"/>
    <x v="1"/>
    <x v="2"/>
    <x v="0"/>
    <x v="4"/>
    <d v="2020-02-20T00:00:00"/>
    <s v="A"/>
    <s v="name@company.org"/>
    <s v="123-456-7890"/>
    <x v="0"/>
    <x v="1"/>
    <x v="1"/>
    <x v="1"/>
    <x v="1"/>
  </r>
  <r>
    <x v="7"/>
    <x v="3"/>
    <x v="5"/>
    <x v="2"/>
    <x v="0"/>
    <x v="1"/>
    <d v="2020-02-20T00:00:00"/>
    <s v="B"/>
    <s v="user@domain.com"/>
    <s v="555-555-5555"/>
    <x v="0"/>
    <x v="2"/>
    <x v="2"/>
    <x v="1"/>
    <x v="0"/>
  </r>
  <r>
    <x v="3"/>
    <x v="0"/>
    <x v="1"/>
    <x v="2"/>
    <x v="3"/>
    <x v="0"/>
    <d v="2020-02-20T00:00:00"/>
    <s v="D"/>
    <s v="user@domain.com"/>
    <s v="555-555-5555"/>
    <x v="0"/>
    <x v="1"/>
    <x v="0"/>
    <x v="0"/>
    <x v="0"/>
  </r>
  <r>
    <x v="0"/>
    <x v="0"/>
    <x v="0"/>
    <x v="0"/>
    <x v="0"/>
    <x v="3"/>
    <d v="2020-02-20T00:00:00"/>
    <s v="C"/>
    <s v="user@domain.com"/>
    <s v="123-456-7890"/>
    <x v="0"/>
    <x v="0"/>
    <x v="2"/>
    <x v="1"/>
    <x v="0"/>
  </r>
  <r>
    <x v="3"/>
    <x v="4"/>
    <x v="5"/>
    <x v="2"/>
    <x v="1"/>
    <x v="4"/>
    <d v="2020-02-20T00:00:00"/>
    <s v="B"/>
    <s v="Not Available"/>
    <s v="123-456-7890"/>
    <x v="0"/>
    <x v="2"/>
    <x v="2"/>
    <x v="1"/>
    <x v="0"/>
  </r>
  <r>
    <x v="8"/>
    <x v="2"/>
    <x v="0"/>
    <x v="2"/>
    <x v="3"/>
    <x v="3"/>
    <d v="2020-02-20T00:00:00"/>
    <s v="D"/>
    <s v="user@domain.com"/>
    <s v="Not Available"/>
    <x v="0"/>
    <x v="0"/>
    <x v="0"/>
    <x v="0"/>
    <x v="0"/>
  </r>
  <r>
    <x v="5"/>
    <x v="2"/>
    <x v="1"/>
    <x v="0"/>
    <x v="0"/>
    <x v="3"/>
    <d v="2020-02-20T00:00:00"/>
    <s v="A"/>
    <s v="Not Available"/>
    <s v="098-765-4321"/>
    <x v="0"/>
    <x v="1"/>
    <x v="1"/>
    <x v="1"/>
    <x v="1"/>
  </r>
  <r>
    <x v="8"/>
    <x v="4"/>
    <x v="4"/>
    <x v="2"/>
    <x v="4"/>
    <x v="3"/>
    <d v="2020-02-20T00:00:00"/>
    <s v="F"/>
    <s v="user@domain.com"/>
    <s v="555-555-5555"/>
    <x v="0"/>
    <x v="1"/>
    <x v="0"/>
    <x v="0"/>
    <x v="0"/>
  </r>
  <r>
    <x v="5"/>
    <x v="0"/>
    <x v="2"/>
    <x v="1"/>
    <x v="3"/>
    <x v="1"/>
    <d v="2020-02-20T00:00:00"/>
    <s v="C"/>
    <s v="Not Available"/>
    <s v="Not Available"/>
    <x v="0"/>
    <x v="2"/>
    <x v="2"/>
    <x v="1"/>
    <x v="0"/>
  </r>
  <r>
    <x v="2"/>
    <x v="1"/>
    <x v="3"/>
    <x v="2"/>
    <x v="3"/>
    <x v="2"/>
    <d v="2020-02-20T00:00:00"/>
    <s v="B"/>
    <s v="Not Available"/>
    <s v="Not Available"/>
    <x v="0"/>
    <x v="0"/>
    <x v="2"/>
    <x v="1"/>
    <x v="0"/>
  </r>
  <r>
    <x v="1"/>
    <x v="2"/>
    <x v="5"/>
    <x v="0"/>
    <x v="4"/>
    <x v="1"/>
    <d v="2020-02-20T00:00:00"/>
    <s v="D"/>
    <s v="email@example.com"/>
    <s v="098-765-4321"/>
    <x v="0"/>
    <x v="2"/>
    <x v="0"/>
    <x v="0"/>
    <x v="0"/>
  </r>
  <r>
    <x v="0"/>
    <x v="0"/>
    <x v="3"/>
    <x v="0"/>
    <x v="2"/>
    <x v="3"/>
    <d v="2020-02-20T00:00:00"/>
    <s v="A"/>
    <s v="Not Available"/>
    <s v="555-555-5555"/>
    <x v="0"/>
    <x v="0"/>
    <x v="1"/>
    <x v="1"/>
    <x v="1"/>
  </r>
  <r>
    <x v="7"/>
    <x v="1"/>
    <x v="0"/>
    <x v="0"/>
    <x v="4"/>
    <x v="1"/>
    <d v="2020-02-20T00:00:00"/>
    <s v="A"/>
    <s v="Not Available"/>
    <s v="555-555-5555"/>
    <x v="0"/>
    <x v="0"/>
    <x v="1"/>
    <x v="1"/>
    <x v="1"/>
  </r>
  <r>
    <x v="0"/>
    <x v="0"/>
    <x v="2"/>
    <x v="2"/>
    <x v="4"/>
    <x v="4"/>
    <d v="2020-02-20T00:00:00"/>
    <s v="C"/>
    <s v="Not Available"/>
    <s v="Not Available"/>
    <x v="0"/>
    <x v="2"/>
    <x v="2"/>
    <x v="1"/>
    <x v="0"/>
  </r>
  <r>
    <x v="8"/>
    <x v="0"/>
    <x v="2"/>
    <x v="0"/>
    <x v="0"/>
    <x v="0"/>
    <d v="2020-02-20T00:00:00"/>
    <s v="D"/>
    <s v="name@company.org"/>
    <s v="123-456-7890"/>
    <x v="0"/>
    <x v="2"/>
    <x v="0"/>
    <x v="0"/>
    <x v="0"/>
  </r>
  <r>
    <x v="2"/>
    <x v="0"/>
    <x v="5"/>
    <x v="0"/>
    <x v="2"/>
    <x v="4"/>
    <d v="2020-02-20T00:00:00"/>
    <s v="F"/>
    <s v="name@company.org"/>
    <s v="123-456-7890"/>
    <x v="0"/>
    <x v="2"/>
    <x v="0"/>
    <x v="0"/>
    <x v="0"/>
  </r>
  <r>
    <x v="7"/>
    <x v="4"/>
    <x v="2"/>
    <x v="0"/>
    <x v="4"/>
    <x v="1"/>
    <d v="2020-02-20T00:00:00"/>
    <s v="B"/>
    <s v="Not Available"/>
    <s v="Not Available"/>
    <x v="0"/>
    <x v="2"/>
    <x v="2"/>
    <x v="1"/>
    <x v="0"/>
  </r>
  <r>
    <x v="8"/>
    <x v="1"/>
    <x v="2"/>
    <x v="1"/>
    <x v="1"/>
    <x v="4"/>
    <d v="2020-02-20T00:00:00"/>
    <s v="A"/>
    <s v="user@domain.com"/>
    <s v="Not Available"/>
    <x v="0"/>
    <x v="2"/>
    <x v="1"/>
    <x v="1"/>
    <x v="1"/>
  </r>
  <r>
    <x v="8"/>
    <x v="2"/>
    <x v="0"/>
    <x v="2"/>
    <x v="2"/>
    <x v="2"/>
    <d v="2020-02-20T00:00:00"/>
    <s v="A"/>
    <s v="Not Available"/>
    <s v="123-456-7890"/>
    <x v="0"/>
    <x v="0"/>
    <x v="1"/>
    <x v="1"/>
    <x v="1"/>
  </r>
  <r>
    <x v="9"/>
    <x v="3"/>
    <x v="2"/>
    <x v="2"/>
    <x v="1"/>
    <x v="0"/>
    <d v="2020-02-20T00:00:00"/>
    <s v="F"/>
    <s v="user@domain.com"/>
    <s v="123-456-7890"/>
    <x v="0"/>
    <x v="2"/>
    <x v="0"/>
    <x v="0"/>
    <x v="0"/>
  </r>
  <r>
    <x v="3"/>
    <x v="3"/>
    <x v="4"/>
    <x v="2"/>
    <x v="3"/>
    <x v="1"/>
    <d v="2020-02-20T00:00:00"/>
    <s v="B"/>
    <s v="user@domain.com"/>
    <s v="098-765-4321"/>
    <x v="0"/>
    <x v="1"/>
    <x v="2"/>
    <x v="1"/>
    <x v="0"/>
  </r>
  <r>
    <x v="8"/>
    <x v="1"/>
    <x v="2"/>
    <x v="1"/>
    <x v="2"/>
    <x v="0"/>
    <d v="2020-02-20T00:00:00"/>
    <s v="A"/>
    <s v="user@domain.com"/>
    <s v="098-765-4321"/>
    <x v="0"/>
    <x v="2"/>
    <x v="1"/>
    <x v="1"/>
    <x v="1"/>
  </r>
  <r>
    <x v="1"/>
    <x v="4"/>
    <x v="3"/>
    <x v="1"/>
    <x v="4"/>
    <x v="2"/>
    <d v="2020-02-20T00:00:00"/>
    <s v="A"/>
    <s v="user@domain.com"/>
    <s v="123-456-7890"/>
    <x v="0"/>
    <x v="0"/>
    <x v="1"/>
    <x v="1"/>
    <x v="1"/>
  </r>
  <r>
    <x v="7"/>
    <x v="3"/>
    <x v="0"/>
    <x v="0"/>
    <x v="4"/>
    <x v="1"/>
    <d v="2020-02-20T00:00:00"/>
    <s v="C"/>
    <s v="user@domain.com"/>
    <s v="098-765-4321"/>
    <x v="0"/>
    <x v="0"/>
    <x v="2"/>
    <x v="1"/>
    <x v="0"/>
  </r>
  <r>
    <x v="1"/>
    <x v="4"/>
    <x v="3"/>
    <x v="1"/>
    <x v="4"/>
    <x v="1"/>
    <d v="2020-02-20T00:00:00"/>
    <s v="D"/>
    <s v="Not Available"/>
    <s v="Not Available"/>
    <x v="0"/>
    <x v="0"/>
    <x v="0"/>
    <x v="0"/>
    <x v="0"/>
  </r>
  <r>
    <x v="6"/>
    <x v="0"/>
    <x v="2"/>
    <x v="0"/>
    <x v="3"/>
    <x v="0"/>
    <d v="2020-02-20T00:00:00"/>
    <s v="F"/>
    <s v="user@domain.com"/>
    <s v="Not Available"/>
    <x v="0"/>
    <x v="2"/>
    <x v="0"/>
    <x v="0"/>
    <x v="0"/>
  </r>
  <r>
    <x v="9"/>
    <x v="0"/>
    <x v="5"/>
    <x v="2"/>
    <x v="2"/>
    <x v="3"/>
    <d v="2020-02-20T00:00:00"/>
    <s v="C"/>
    <s v="Not Available"/>
    <s v="Not Available"/>
    <x v="0"/>
    <x v="2"/>
    <x v="2"/>
    <x v="1"/>
    <x v="0"/>
  </r>
  <r>
    <x v="9"/>
    <x v="0"/>
    <x v="5"/>
    <x v="1"/>
    <x v="0"/>
    <x v="1"/>
    <d v="2020-02-20T00:00:00"/>
    <s v="A"/>
    <s v="Not Available"/>
    <s v="Not Available"/>
    <x v="0"/>
    <x v="2"/>
    <x v="1"/>
    <x v="1"/>
    <x v="1"/>
  </r>
  <r>
    <x v="8"/>
    <x v="4"/>
    <x v="2"/>
    <x v="2"/>
    <x v="4"/>
    <x v="3"/>
    <d v="2020-02-20T00:00:00"/>
    <s v="A"/>
    <s v="Not Available"/>
    <s v="Not Available"/>
    <x v="0"/>
    <x v="2"/>
    <x v="1"/>
    <x v="1"/>
    <x v="1"/>
  </r>
  <r>
    <x v="6"/>
    <x v="4"/>
    <x v="1"/>
    <x v="1"/>
    <x v="4"/>
    <x v="3"/>
    <d v="2020-02-20T00:00:00"/>
    <s v="D"/>
    <s v="user@domain.com"/>
    <s v="123-456-7890"/>
    <x v="0"/>
    <x v="1"/>
    <x v="0"/>
    <x v="0"/>
    <x v="0"/>
  </r>
  <r>
    <x v="7"/>
    <x v="1"/>
    <x v="5"/>
    <x v="1"/>
    <x v="3"/>
    <x v="1"/>
    <d v="2020-02-20T00:00:00"/>
    <s v="A"/>
    <s v="email@example.com"/>
    <s v="Not Available"/>
    <x v="0"/>
    <x v="2"/>
    <x v="1"/>
    <x v="1"/>
    <x v="1"/>
  </r>
  <r>
    <x v="5"/>
    <x v="0"/>
    <x v="2"/>
    <x v="2"/>
    <x v="0"/>
    <x v="4"/>
    <d v="2020-02-20T00:00:00"/>
    <s v="F"/>
    <s v="name@company.org"/>
    <s v="Not Available"/>
    <x v="0"/>
    <x v="2"/>
    <x v="0"/>
    <x v="0"/>
    <x v="0"/>
  </r>
  <r>
    <x v="2"/>
    <x v="3"/>
    <x v="1"/>
    <x v="2"/>
    <x v="3"/>
    <x v="0"/>
    <d v="2020-02-20T00:00:00"/>
    <s v="C"/>
    <s v="email@example.com"/>
    <s v="098-765-4321"/>
    <x v="0"/>
    <x v="1"/>
    <x v="2"/>
    <x v="1"/>
    <x v="0"/>
  </r>
  <r>
    <x v="8"/>
    <x v="0"/>
    <x v="2"/>
    <x v="0"/>
    <x v="4"/>
    <x v="4"/>
    <d v="2020-02-20T00:00:00"/>
    <s v="C"/>
    <s v="Not Available"/>
    <s v="Not Available"/>
    <x v="0"/>
    <x v="2"/>
    <x v="2"/>
    <x v="1"/>
    <x v="0"/>
  </r>
  <r>
    <x v="2"/>
    <x v="4"/>
    <x v="1"/>
    <x v="2"/>
    <x v="1"/>
    <x v="0"/>
    <d v="2020-02-20T00:00:00"/>
    <s v="C"/>
    <s v="Not Available"/>
    <s v="123-456-7890"/>
    <x v="0"/>
    <x v="1"/>
    <x v="2"/>
    <x v="1"/>
    <x v="0"/>
  </r>
  <r>
    <x v="1"/>
    <x v="0"/>
    <x v="2"/>
    <x v="0"/>
    <x v="4"/>
    <x v="3"/>
    <d v="2020-02-20T00:00:00"/>
    <s v="B"/>
    <s v="email@example.com"/>
    <s v="098-765-4321"/>
    <x v="0"/>
    <x v="2"/>
    <x v="2"/>
    <x v="1"/>
    <x v="0"/>
  </r>
  <r>
    <x v="1"/>
    <x v="0"/>
    <x v="2"/>
    <x v="0"/>
    <x v="4"/>
    <x v="4"/>
    <d v="2020-02-20T00:00:00"/>
    <s v="A"/>
    <s v="user@domain.com"/>
    <s v="123-456-7890"/>
    <x v="0"/>
    <x v="2"/>
    <x v="1"/>
    <x v="1"/>
    <x v="1"/>
  </r>
  <r>
    <x v="7"/>
    <x v="4"/>
    <x v="4"/>
    <x v="2"/>
    <x v="0"/>
    <x v="4"/>
    <d v="2020-02-20T00:00:00"/>
    <s v="F"/>
    <s v="Not Available"/>
    <s v="098-765-4321"/>
    <x v="0"/>
    <x v="1"/>
    <x v="0"/>
    <x v="0"/>
    <x v="0"/>
  </r>
  <r>
    <x v="8"/>
    <x v="2"/>
    <x v="3"/>
    <x v="2"/>
    <x v="2"/>
    <x v="3"/>
    <d v="2020-02-20T00:00:00"/>
    <s v="B"/>
    <s v="user@domain.com"/>
    <s v="555-555-5555"/>
    <x v="0"/>
    <x v="0"/>
    <x v="2"/>
    <x v="1"/>
    <x v="0"/>
  </r>
  <r>
    <x v="9"/>
    <x v="0"/>
    <x v="0"/>
    <x v="2"/>
    <x v="0"/>
    <x v="1"/>
    <d v="2020-02-20T00:00:00"/>
    <s v="D"/>
    <s v="Not Available"/>
    <s v="Not Available"/>
    <x v="0"/>
    <x v="0"/>
    <x v="0"/>
    <x v="0"/>
    <x v="0"/>
  </r>
  <r>
    <x v="7"/>
    <x v="1"/>
    <x v="0"/>
    <x v="1"/>
    <x v="1"/>
    <x v="0"/>
    <d v="2020-02-20T00:00:00"/>
    <s v="B"/>
    <s v="email@example.com"/>
    <s v="098-765-4321"/>
    <x v="0"/>
    <x v="0"/>
    <x v="2"/>
    <x v="1"/>
    <x v="0"/>
  </r>
  <r>
    <x v="0"/>
    <x v="2"/>
    <x v="5"/>
    <x v="0"/>
    <x v="4"/>
    <x v="3"/>
    <d v="2020-02-20T00:00:00"/>
    <s v="F"/>
    <s v="Not Available"/>
    <s v="Not Available"/>
    <x v="0"/>
    <x v="2"/>
    <x v="0"/>
    <x v="0"/>
    <x v="0"/>
  </r>
  <r>
    <x v="5"/>
    <x v="1"/>
    <x v="1"/>
    <x v="2"/>
    <x v="4"/>
    <x v="4"/>
    <d v="2020-02-20T00:00:00"/>
    <s v="A"/>
    <s v="user@domain.com"/>
    <s v="123-456-7890"/>
    <x v="0"/>
    <x v="1"/>
    <x v="1"/>
    <x v="1"/>
    <x v="1"/>
  </r>
  <r>
    <x v="9"/>
    <x v="2"/>
    <x v="2"/>
    <x v="0"/>
    <x v="3"/>
    <x v="4"/>
    <d v="2020-02-20T00:00:00"/>
    <s v="B"/>
    <s v="Not Available"/>
    <s v="Not Available"/>
    <x v="0"/>
    <x v="2"/>
    <x v="2"/>
    <x v="1"/>
    <x v="0"/>
  </r>
  <r>
    <x v="8"/>
    <x v="0"/>
    <x v="0"/>
    <x v="0"/>
    <x v="2"/>
    <x v="3"/>
    <d v="2020-02-20T00:00:00"/>
    <s v="C"/>
    <s v="user@domain.com"/>
    <s v="Not Available"/>
    <x v="0"/>
    <x v="0"/>
    <x v="2"/>
    <x v="1"/>
    <x v="0"/>
  </r>
  <r>
    <x v="0"/>
    <x v="0"/>
    <x v="5"/>
    <x v="0"/>
    <x v="3"/>
    <x v="1"/>
    <d v="2020-02-20T00:00:00"/>
    <s v="D"/>
    <s v="Not Available"/>
    <s v="555-555-5555"/>
    <x v="0"/>
    <x v="2"/>
    <x v="0"/>
    <x v="0"/>
    <x v="0"/>
  </r>
  <r>
    <x v="0"/>
    <x v="0"/>
    <x v="3"/>
    <x v="2"/>
    <x v="2"/>
    <x v="0"/>
    <d v="2020-02-20T00:00:00"/>
    <s v="F"/>
    <s v="user@domain.com"/>
    <s v="098-765-4321"/>
    <x v="0"/>
    <x v="0"/>
    <x v="0"/>
    <x v="0"/>
    <x v="0"/>
  </r>
  <r>
    <x v="7"/>
    <x v="4"/>
    <x v="5"/>
    <x v="2"/>
    <x v="4"/>
    <x v="0"/>
    <d v="2020-02-20T00:00:00"/>
    <s v="C"/>
    <s v="Not Available"/>
    <s v="123-456-7890"/>
    <x v="0"/>
    <x v="2"/>
    <x v="2"/>
    <x v="1"/>
    <x v="0"/>
  </r>
  <r>
    <x v="0"/>
    <x v="2"/>
    <x v="0"/>
    <x v="0"/>
    <x v="2"/>
    <x v="2"/>
    <d v="2020-02-20T00:00:00"/>
    <s v="F"/>
    <s v="Not Available"/>
    <s v="Not Available"/>
    <x v="0"/>
    <x v="0"/>
    <x v="0"/>
    <x v="0"/>
    <x v="0"/>
  </r>
  <r>
    <x v="8"/>
    <x v="1"/>
    <x v="4"/>
    <x v="0"/>
    <x v="4"/>
    <x v="3"/>
    <d v="2020-02-20T00:00:00"/>
    <s v="A"/>
    <s v="email@example.com"/>
    <s v="555-555-5555"/>
    <x v="0"/>
    <x v="1"/>
    <x v="1"/>
    <x v="1"/>
    <x v="1"/>
  </r>
  <r>
    <x v="3"/>
    <x v="3"/>
    <x v="0"/>
    <x v="0"/>
    <x v="1"/>
    <x v="2"/>
    <d v="2020-02-20T00:00:00"/>
    <s v="F"/>
    <s v="Not Available"/>
    <s v="098-765-4321"/>
    <x v="0"/>
    <x v="0"/>
    <x v="0"/>
    <x v="0"/>
    <x v="0"/>
  </r>
  <r>
    <x v="5"/>
    <x v="1"/>
    <x v="4"/>
    <x v="2"/>
    <x v="0"/>
    <x v="2"/>
    <d v="2020-02-20T00:00:00"/>
    <s v="C"/>
    <s v="user@domain.com"/>
    <s v="123-456-7890"/>
    <x v="0"/>
    <x v="1"/>
    <x v="2"/>
    <x v="1"/>
    <x v="0"/>
  </r>
  <r>
    <x v="7"/>
    <x v="0"/>
    <x v="4"/>
    <x v="0"/>
    <x v="3"/>
    <x v="0"/>
    <d v="2020-01-15T00:00:00"/>
    <s v="C"/>
    <s v="email@example.com"/>
    <s v="098-765-4321"/>
    <x v="1"/>
    <x v="1"/>
    <x v="2"/>
    <x v="1"/>
    <x v="0"/>
  </r>
  <r>
    <x v="4"/>
    <x v="0"/>
    <x v="1"/>
    <x v="0"/>
    <x v="0"/>
    <x v="2"/>
    <d v="2020-01-15T00:00:00"/>
    <s v="F"/>
    <s v="name@company.org"/>
    <s v="098-765-4321"/>
    <x v="1"/>
    <x v="1"/>
    <x v="0"/>
    <x v="0"/>
    <x v="0"/>
  </r>
  <r>
    <x v="7"/>
    <x v="4"/>
    <x v="4"/>
    <x v="0"/>
    <x v="4"/>
    <x v="2"/>
    <d v="2020-01-15T00:00:00"/>
    <s v="C"/>
    <s v="user@domain.com"/>
    <s v="123-456-7890"/>
    <x v="1"/>
    <x v="1"/>
    <x v="2"/>
    <x v="1"/>
    <x v="0"/>
  </r>
  <r>
    <x v="6"/>
    <x v="4"/>
    <x v="2"/>
    <x v="0"/>
    <x v="3"/>
    <x v="1"/>
    <d v="2020-01-15T00:00:00"/>
    <s v="B"/>
    <s v="Not Available"/>
    <s v="098-765-4321"/>
    <x v="1"/>
    <x v="2"/>
    <x v="2"/>
    <x v="1"/>
    <x v="0"/>
  </r>
  <r>
    <x v="1"/>
    <x v="0"/>
    <x v="5"/>
    <x v="0"/>
    <x v="2"/>
    <x v="4"/>
    <d v="2020-01-15T00:00:00"/>
    <s v="D"/>
    <s v="email@example.com"/>
    <s v="098-765-4321"/>
    <x v="1"/>
    <x v="2"/>
    <x v="0"/>
    <x v="0"/>
    <x v="0"/>
  </r>
  <r>
    <x v="8"/>
    <x v="4"/>
    <x v="3"/>
    <x v="1"/>
    <x v="4"/>
    <x v="0"/>
    <d v="2020-01-15T00:00:00"/>
    <s v="B"/>
    <s v="email@example.com"/>
    <s v="555-555-5555"/>
    <x v="1"/>
    <x v="0"/>
    <x v="2"/>
    <x v="1"/>
    <x v="0"/>
  </r>
  <r>
    <x v="9"/>
    <x v="1"/>
    <x v="3"/>
    <x v="2"/>
    <x v="3"/>
    <x v="4"/>
    <d v="2020-01-15T00:00:00"/>
    <s v="B"/>
    <s v="email@example.com"/>
    <s v="123-456-7890"/>
    <x v="1"/>
    <x v="0"/>
    <x v="2"/>
    <x v="1"/>
    <x v="0"/>
  </r>
  <r>
    <x v="1"/>
    <x v="0"/>
    <x v="1"/>
    <x v="0"/>
    <x v="3"/>
    <x v="0"/>
    <d v="2020-01-15T00:00:00"/>
    <s v="A"/>
    <s v="email@example.com"/>
    <s v="123-456-7890"/>
    <x v="1"/>
    <x v="1"/>
    <x v="1"/>
    <x v="1"/>
    <x v="1"/>
  </r>
  <r>
    <x v="5"/>
    <x v="0"/>
    <x v="3"/>
    <x v="2"/>
    <x v="2"/>
    <x v="3"/>
    <d v="2020-01-15T00:00:00"/>
    <s v="A"/>
    <s v="Not Available"/>
    <s v="555-555-5555"/>
    <x v="1"/>
    <x v="0"/>
    <x v="1"/>
    <x v="1"/>
    <x v="1"/>
  </r>
  <r>
    <x v="9"/>
    <x v="0"/>
    <x v="0"/>
    <x v="1"/>
    <x v="4"/>
    <x v="2"/>
    <d v="2020-01-15T00:00:00"/>
    <s v="D"/>
    <s v="Not Available"/>
    <s v="098-765-4321"/>
    <x v="1"/>
    <x v="0"/>
    <x v="0"/>
    <x v="0"/>
    <x v="0"/>
  </r>
  <r>
    <x v="0"/>
    <x v="1"/>
    <x v="2"/>
    <x v="0"/>
    <x v="4"/>
    <x v="2"/>
    <d v="2020-01-15T00:00:00"/>
    <s v="C"/>
    <s v="Not Available"/>
    <s v="098-765-4321"/>
    <x v="1"/>
    <x v="2"/>
    <x v="2"/>
    <x v="1"/>
    <x v="0"/>
  </r>
  <r>
    <x v="6"/>
    <x v="0"/>
    <x v="0"/>
    <x v="1"/>
    <x v="1"/>
    <x v="0"/>
    <d v="2020-01-15T00:00:00"/>
    <s v="D"/>
    <s v="Not Available"/>
    <s v="Not Available"/>
    <x v="1"/>
    <x v="0"/>
    <x v="0"/>
    <x v="0"/>
    <x v="0"/>
  </r>
  <r>
    <x v="4"/>
    <x v="0"/>
    <x v="1"/>
    <x v="1"/>
    <x v="2"/>
    <x v="3"/>
    <d v="2020-01-15T00:00:00"/>
    <s v="F"/>
    <s v="email@example.com"/>
    <s v="555-555-5555"/>
    <x v="1"/>
    <x v="1"/>
    <x v="0"/>
    <x v="0"/>
    <x v="0"/>
  </r>
  <r>
    <x v="7"/>
    <x v="2"/>
    <x v="3"/>
    <x v="0"/>
    <x v="1"/>
    <x v="3"/>
    <d v="2020-01-15T00:00:00"/>
    <s v="D"/>
    <s v="email@example.com"/>
    <s v="Not Available"/>
    <x v="1"/>
    <x v="0"/>
    <x v="0"/>
    <x v="0"/>
    <x v="0"/>
  </r>
  <r>
    <x v="7"/>
    <x v="2"/>
    <x v="2"/>
    <x v="2"/>
    <x v="0"/>
    <x v="1"/>
    <d v="2020-01-15T00:00:00"/>
    <s v="F"/>
    <s v="Not Available"/>
    <s v="098-765-4321"/>
    <x v="1"/>
    <x v="2"/>
    <x v="0"/>
    <x v="0"/>
    <x v="0"/>
  </r>
  <r>
    <x v="2"/>
    <x v="4"/>
    <x v="3"/>
    <x v="2"/>
    <x v="2"/>
    <x v="0"/>
    <d v="2020-01-15T00:00:00"/>
    <s v="D"/>
    <s v="email@example.com"/>
    <s v="123-456-7890"/>
    <x v="1"/>
    <x v="0"/>
    <x v="0"/>
    <x v="0"/>
    <x v="0"/>
  </r>
  <r>
    <x v="3"/>
    <x v="4"/>
    <x v="0"/>
    <x v="1"/>
    <x v="3"/>
    <x v="1"/>
    <d v="2020-01-15T00:00:00"/>
    <s v="A"/>
    <s v="name@company.org"/>
    <s v="123-456-7890"/>
    <x v="1"/>
    <x v="0"/>
    <x v="1"/>
    <x v="1"/>
    <x v="1"/>
  </r>
  <r>
    <x v="3"/>
    <x v="4"/>
    <x v="4"/>
    <x v="1"/>
    <x v="2"/>
    <x v="4"/>
    <d v="2020-01-15T00:00:00"/>
    <s v="F"/>
    <s v="Not Available"/>
    <s v="098-765-4321"/>
    <x v="1"/>
    <x v="1"/>
    <x v="0"/>
    <x v="0"/>
    <x v="0"/>
  </r>
  <r>
    <x v="7"/>
    <x v="2"/>
    <x v="3"/>
    <x v="1"/>
    <x v="0"/>
    <x v="3"/>
    <d v="2020-01-15T00:00:00"/>
    <s v="F"/>
    <s v="user@domain.com"/>
    <s v="Not Available"/>
    <x v="1"/>
    <x v="0"/>
    <x v="0"/>
    <x v="0"/>
    <x v="0"/>
  </r>
  <r>
    <x v="9"/>
    <x v="3"/>
    <x v="2"/>
    <x v="0"/>
    <x v="3"/>
    <x v="4"/>
    <d v="2020-01-15T00:00:00"/>
    <s v="A"/>
    <s v="Not Available"/>
    <s v="123-456-7890"/>
    <x v="1"/>
    <x v="2"/>
    <x v="1"/>
    <x v="1"/>
    <x v="1"/>
  </r>
  <r>
    <x v="1"/>
    <x v="0"/>
    <x v="0"/>
    <x v="1"/>
    <x v="3"/>
    <x v="0"/>
    <d v="2020-01-15T00:00:00"/>
    <s v="F"/>
    <s v="name@company.org"/>
    <s v="123-456-7890"/>
    <x v="1"/>
    <x v="0"/>
    <x v="0"/>
    <x v="0"/>
    <x v="0"/>
  </r>
  <r>
    <x v="3"/>
    <x v="1"/>
    <x v="4"/>
    <x v="0"/>
    <x v="0"/>
    <x v="4"/>
    <d v="2020-01-15T00:00:00"/>
    <s v="A"/>
    <s v="name@company.org"/>
    <s v="123-456-7890"/>
    <x v="1"/>
    <x v="1"/>
    <x v="1"/>
    <x v="1"/>
    <x v="1"/>
  </r>
  <r>
    <x v="2"/>
    <x v="2"/>
    <x v="0"/>
    <x v="0"/>
    <x v="3"/>
    <x v="2"/>
    <d v="2020-01-15T00:00:00"/>
    <s v="A"/>
    <s v="Not Available"/>
    <s v="123-456-7890"/>
    <x v="1"/>
    <x v="0"/>
    <x v="1"/>
    <x v="1"/>
    <x v="1"/>
  </r>
  <r>
    <x v="9"/>
    <x v="1"/>
    <x v="2"/>
    <x v="0"/>
    <x v="4"/>
    <x v="4"/>
    <d v="2020-01-15T00:00:00"/>
    <s v="C"/>
    <s v="email@example.com"/>
    <s v="Not Available"/>
    <x v="1"/>
    <x v="2"/>
    <x v="2"/>
    <x v="1"/>
    <x v="0"/>
  </r>
  <r>
    <x v="1"/>
    <x v="2"/>
    <x v="3"/>
    <x v="0"/>
    <x v="0"/>
    <x v="0"/>
    <d v="2020-01-15T00:00:00"/>
    <s v="B"/>
    <s v="name@company.org"/>
    <s v="555-555-5555"/>
    <x v="1"/>
    <x v="0"/>
    <x v="2"/>
    <x v="1"/>
    <x v="0"/>
  </r>
  <r>
    <x v="4"/>
    <x v="0"/>
    <x v="2"/>
    <x v="0"/>
    <x v="4"/>
    <x v="3"/>
    <d v="2020-01-15T00:00:00"/>
    <s v="B"/>
    <s v="email@example.com"/>
    <s v="Not Available"/>
    <x v="1"/>
    <x v="2"/>
    <x v="2"/>
    <x v="1"/>
    <x v="0"/>
  </r>
  <r>
    <x v="1"/>
    <x v="0"/>
    <x v="2"/>
    <x v="0"/>
    <x v="4"/>
    <x v="0"/>
    <d v="2020-01-15T00:00:00"/>
    <s v="D"/>
    <s v="Not Available"/>
    <s v="Not Available"/>
    <x v="1"/>
    <x v="2"/>
    <x v="0"/>
    <x v="0"/>
    <x v="0"/>
  </r>
  <r>
    <x v="3"/>
    <x v="3"/>
    <x v="0"/>
    <x v="0"/>
    <x v="1"/>
    <x v="1"/>
    <d v="2020-01-15T00:00:00"/>
    <s v="F"/>
    <s v="Not Available"/>
    <s v="098-765-4321"/>
    <x v="1"/>
    <x v="0"/>
    <x v="0"/>
    <x v="0"/>
    <x v="0"/>
  </r>
  <r>
    <x v="9"/>
    <x v="4"/>
    <x v="5"/>
    <x v="2"/>
    <x v="4"/>
    <x v="3"/>
    <d v="2020-01-15T00:00:00"/>
    <s v="C"/>
    <s v="user@domain.com"/>
    <s v="098-765-4321"/>
    <x v="1"/>
    <x v="2"/>
    <x v="2"/>
    <x v="1"/>
    <x v="0"/>
  </r>
  <r>
    <x v="5"/>
    <x v="4"/>
    <x v="3"/>
    <x v="1"/>
    <x v="0"/>
    <x v="1"/>
    <d v="2020-01-15T00:00:00"/>
    <s v="A"/>
    <s v="user@domain.com"/>
    <s v="Not Available"/>
    <x v="1"/>
    <x v="0"/>
    <x v="1"/>
    <x v="1"/>
    <x v="1"/>
  </r>
  <r>
    <x v="5"/>
    <x v="1"/>
    <x v="4"/>
    <x v="1"/>
    <x v="1"/>
    <x v="2"/>
    <d v="2020-01-15T00:00:00"/>
    <s v="C"/>
    <s v="user@domain.com"/>
    <s v="Not Available"/>
    <x v="1"/>
    <x v="1"/>
    <x v="2"/>
    <x v="1"/>
    <x v="0"/>
  </r>
  <r>
    <x v="7"/>
    <x v="0"/>
    <x v="3"/>
    <x v="2"/>
    <x v="4"/>
    <x v="4"/>
    <d v="2020-01-15T00:00:00"/>
    <s v="A"/>
    <s v="user@domain.com"/>
    <s v="123-456-7890"/>
    <x v="1"/>
    <x v="0"/>
    <x v="1"/>
    <x v="1"/>
    <x v="1"/>
  </r>
  <r>
    <x v="3"/>
    <x v="0"/>
    <x v="5"/>
    <x v="2"/>
    <x v="0"/>
    <x v="1"/>
    <d v="2020-01-15T00:00:00"/>
    <s v="D"/>
    <s v="name@company.org"/>
    <s v="Not Available"/>
    <x v="1"/>
    <x v="2"/>
    <x v="0"/>
    <x v="0"/>
    <x v="0"/>
  </r>
  <r>
    <x v="8"/>
    <x v="1"/>
    <x v="2"/>
    <x v="2"/>
    <x v="1"/>
    <x v="3"/>
    <d v="2020-01-15T00:00:00"/>
    <s v="D"/>
    <s v="name@company.org"/>
    <s v="Not Available"/>
    <x v="1"/>
    <x v="2"/>
    <x v="0"/>
    <x v="0"/>
    <x v="0"/>
  </r>
  <r>
    <x v="7"/>
    <x v="2"/>
    <x v="5"/>
    <x v="0"/>
    <x v="1"/>
    <x v="3"/>
    <d v="2020-01-15T00:00:00"/>
    <s v="F"/>
    <s v="Not Available"/>
    <s v="555-555-5555"/>
    <x v="1"/>
    <x v="2"/>
    <x v="0"/>
    <x v="0"/>
    <x v="0"/>
  </r>
  <r>
    <x v="9"/>
    <x v="0"/>
    <x v="5"/>
    <x v="2"/>
    <x v="3"/>
    <x v="3"/>
    <d v="2020-01-15T00:00:00"/>
    <s v="C"/>
    <s v="Not Available"/>
    <s v="Not Available"/>
    <x v="1"/>
    <x v="2"/>
    <x v="2"/>
    <x v="1"/>
    <x v="0"/>
  </r>
  <r>
    <x v="6"/>
    <x v="0"/>
    <x v="2"/>
    <x v="2"/>
    <x v="3"/>
    <x v="1"/>
    <d v="2020-01-15T00:00:00"/>
    <s v="A"/>
    <s v="Not Available"/>
    <s v="Not Available"/>
    <x v="1"/>
    <x v="2"/>
    <x v="1"/>
    <x v="1"/>
    <x v="1"/>
  </r>
  <r>
    <x v="7"/>
    <x v="2"/>
    <x v="5"/>
    <x v="1"/>
    <x v="2"/>
    <x v="3"/>
    <d v="2020-01-15T00:00:00"/>
    <s v="B"/>
    <s v="name@company.org"/>
    <s v="Not Available"/>
    <x v="1"/>
    <x v="2"/>
    <x v="2"/>
    <x v="1"/>
    <x v="0"/>
  </r>
  <r>
    <x v="6"/>
    <x v="0"/>
    <x v="2"/>
    <x v="0"/>
    <x v="0"/>
    <x v="1"/>
    <d v="2020-01-15T00:00:00"/>
    <s v="A"/>
    <s v="Not Available"/>
    <s v="Not Available"/>
    <x v="1"/>
    <x v="2"/>
    <x v="1"/>
    <x v="1"/>
    <x v="1"/>
  </r>
  <r>
    <x v="2"/>
    <x v="1"/>
    <x v="0"/>
    <x v="2"/>
    <x v="4"/>
    <x v="3"/>
    <d v="2020-01-15T00:00:00"/>
    <s v="A"/>
    <s v="Not Available"/>
    <s v="Not Available"/>
    <x v="1"/>
    <x v="0"/>
    <x v="1"/>
    <x v="1"/>
    <x v="1"/>
  </r>
  <r>
    <x v="1"/>
    <x v="0"/>
    <x v="5"/>
    <x v="2"/>
    <x v="3"/>
    <x v="2"/>
    <d v="2020-01-15T00:00:00"/>
    <s v="B"/>
    <s v="name@company.org"/>
    <s v="098-765-4321"/>
    <x v="1"/>
    <x v="2"/>
    <x v="2"/>
    <x v="1"/>
    <x v="0"/>
  </r>
  <r>
    <x v="8"/>
    <x v="2"/>
    <x v="5"/>
    <x v="1"/>
    <x v="2"/>
    <x v="1"/>
    <d v="2020-01-15T00:00:00"/>
    <s v="C"/>
    <s v="Not Available"/>
    <s v="Not Available"/>
    <x v="1"/>
    <x v="2"/>
    <x v="2"/>
    <x v="1"/>
    <x v="0"/>
  </r>
  <r>
    <x v="4"/>
    <x v="2"/>
    <x v="4"/>
    <x v="0"/>
    <x v="1"/>
    <x v="1"/>
    <d v="2020-01-15T00:00:00"/>
    <s v="F"/>
    <s v="Not Available"/>
    <s v="555-555-5555"/>
    <x v="1"/>
    <x v="1"/>
    <x v="0"/>
    <x v="0"/>
    <x v="0"/>
  </r>
  <r>
    <x v="9"/>
    <x v="2"/>
    <x v="4"/>
    <x v="1"/>
    <x v="0"/>
    <x v="3"/>
    <d v="2020-01-15T00:00:00"/>
    <s v="A"/>
    <s v="user@domain.com"/>
    <s v="Not Available"/>
    <x v="1"/>
    <x v="1"/>
    <x v="1"/>
    <x v="1"/>
    <x v="1"/>
  </r>
  <r>
    <x v="2"/>
    <x v="1"/>
    <x v="2"/>
    <x v="2"/>
    <x v="0"/>
    <x v="1"/>
    <d v="2020-01-15T00:00:00"/>
    <s v="B"/>
    <s v="name@company.org"/>
    <s v="123-456-7890"/>
    <x v="1"/>
    <x v="2"/>
    <x v="2"/>
    <x v="1"/>
    <x v="0"/>
  </r>
  <r>
    <x v="2"/>
    <x v="0"/>
    <x v="3"/>
    <x v="1"/>
    <x v="1"/>
    <x v="0"/>
    <d v="2020-01-15T00:00:00"/>
    <s v="C"/>
    <s v="name@company.org"/>
    <s v="555-555-5555"/>
    <x v="1"/>
    <x v="0"/>
    <x v="2"/>
    <x v="1"/>
    <x v="0"/>
  </r>
  <r>
    <x v="6"/>
    <x v="0"/>
    <x v="3"/>
    <x v="2"/>
    <x v="1"/>
    <x v="1"/>
    <d v="2020-01-15T00:00:00"/>
    <s v="D"/>
    <s v="Not Available"/>
    <s v="555-555-5555"/>
    <x v="1"/>
    <x v="0"/>
    <x v="0"/>
    <x v="0"/>
    <x v="0"/>
  </r>
  <r>
    <x v="6"/>
    <x v="1"/>
    <x v="0"/>
    <x v="0"/>
    <x v="0"/>
    <x v="3"/>
    <d v="2020-01-15T00:00:00"/>
    <s v="D"/>
    <s v="email@example.com"/>
    <s v="098-765-4321"/>
    <x v="1"/>
    <x v="0"/>
    <x v="0"/>
    <x v="0"/>
    <x v="0"/>
  </r>
  <r>
    <x v="4"/>
    <x v="4"/>
    <x v="2"/>
    <x v="2"/>
    <x v="3"/>
    <x v="4"/>
    <d v="2020-01-15T00:00:00"/>
    <s v="B"/>
    <s v="Not Available"/>
    <s v="Not Available"/>
    <x v="1"/>
    <x v="2"/>
    <x v="2"/>
    <x v="1"/>
    <x v="0"/>
  </r>
  <r>
    <x v="2"/>
    <x v="2"/>
    <x v="0"/>
    <x v="0"/>
    <x v="3"/>
    <x v="3"/>
    <d v="2020-01-15T00:00:00"/>
    <s v="F"/>
    <s v="email@example.com"/>
    <s v="123-456-7890"/>
    <x v="1"/>
    <x v="0"/>
    <x v="0"/>
    <x v="0"/>
    <x v="0"/>
  </r>
  <r>
    <x v="2"/>
    <x v="1"/>
    <x v="1"/>
    <x v="2"/>
    <x v="4"/>
    <x v="1"/>
    <d v="2020-01-15T00:00:00"/>
    <s v="D"/>
    <s v="Not Available"/>
    <s v="555-555-5555"/>
    <x v="1"/>
    <x v="1"/>
    <x v="0"/>
    <x v="0"/>
    <x v="0"/>
  </r>
  <r>
    <x v="2"/>
    <x v="4"/>
    <x v="4"/>
    <x v="0"/>
    <x v="2"/>
    <x v="3"/>
    <d v="2020-01-15T00:00:00"/>
    <s v="A"/>
    <s v="name@company.org"/>
    <s v="098-765-4321"/>
    <x v="1"/>
    <x v="1"/>
    <x v="1"/>
    <x v="1"/>
    <x v="1"/>
  </r>
  <r>
    <x v="6"/>
    <x v="0"/>
    <x v="0"/>
    <x v="2"/>
    <x v="3"/>
    <x v="0"/>
    <d v="2020-01-15T00:00:00"/>
    <s v="B"/>
    <s v="Not Available"/>
    <s v="555-555-5555"/>
    <x v="1"/>
    <x v="0"/>
    <x v="2"/>
    <x v="1"/>
    <x v="0"/>
  </r>
  <r>
    <x v="5"/>
    <x v="3"/>
    <x v="0"/>
    <x v="2"/>
    <x v="0"/>
    <x v="2"/>
    <d v="2020-01-15T00:00:00"/>
    <s v="D"/>
    <s v="user@domain.com"/>
    <s v="555-555-5555"/>
    <x v="1"/>
    <x v="0"/>
    <x v="0"/>
    <x v="0"/>
    <x v="0"/>
  </r>
  <r>
    <x v="0"/>
    <x v="1"/>
    <x v="3"/>
    <x v="0"/>
    <x v="1"/>
    <x v="3"/>
    <d v="2020-01-15T00:00:00"/>
    <s v="A"/>
    <s v="Not Available"/>
    <s v="123-456-7890"/>
    <x v="1"/>
    <x v="0"/>
    <x v="1"/>
    <x v="1"/>
    <x v="1"/>
  </r>
  <r>
    <x v="7"/>
    <x v="0"/>
    <x v="5"/>
    <x v="2"/>
    <x v="0"/>
    <x v="0"/>
    <d v="2020-01-15T00:00:00"/>
    <s v="B"/>
    <s v="user@domain.com"/>
    <s v="Not Available"/>
    <x v="1"/>
    <x v="2"/>
    <x v="2"/>
    <x v="1"/>
    <x v="0"/>
  </r>
  <r>
    <x v="4"/>
    <x v="0"/>
    <x v="3"/>
    <x v="0"/>
    <x v="2"/>
    <x v="2"/>
    <d v="2020-01-15T00:00:00"/>
    <s v="D"/>
    <s v="Not Available"/>
    <s v="123-456-7890"/>
    <x v="1"/>
    <x v="0"/>
    <x v="0"/>
    <x v="0"/>
    <x v="0"/>
  </r>
  <r>
    <x v="8"/>
    <x v="1"/>
    <x v="1"/>
    <x v="2"/>
    <x v="4"/>
    <x v="2"/>
    <d v="2020-01-15T00:00:00"/>
    <s v="D"/>
    <s v="user@domain.com"/>
    <s v="098-765-4321"/>
    <x v="1"/>
    <x v="1"/>
    <x v="0"/>
    <x v="0"/>
    <x v="0"/>
  </r>
  <r>
    <x v="2"/>
    <x v="2"/>
    <x v="3"/>
    <x v="2"/>
    <x v="4"/>
    <x v="2"/>
    <d v="2020-01-15T00:00:00"/>
    <s v="A"/>
    <s v="Not Available"/>
    <s v="098-765-4321"/>
    <x v="1"/>
    <x v="0"/>
    <x v="1"/>
    <x v="1"/>
    <x v="1"/>
  </r>
  <r>
    <x v="5"/>
    <x v="4"/>
    <x v="2"/>
    <x v="1"/>
    <x v="0"/>
    <x v="3"/>
    <d v="2020-01-15T00:00:00"/>
    <s v="B"/>
    <s v="Not Available"/>
    <s v="Not Available"/>
    <x v="1"/>
    <x v="2"/>
    <x v="2"/>
    <x v="1"/>
    <x v="0"/>
  </r>
  <r>
    <x v="7"/>
    <x v="0"/>
    <x v="1"/>
    <x v="2"/>
    <x v="0"/>
    <x v="2"/>
    <d v="2020-01-15T00:00:00"/>
    <s v="C"/>
    <s v="user@domain.com"/>
    <s v="Not Available"/>
    <x v="1"/>
    <x v="1"/>
    <x v="2"/>
    <x v="1"/>
    <x v="0"/>
  </r>
  <r>
    <x v="9"/>
    <x v="0"/>
    <x v="2"/>
    <x v="2"/>
    <x v="0"/>
    <x v="3"/>
    <d v="2020-01-15T00:00:00"/>
    <s v="B"/>
    <s v="name@company.org"/>
    <s v="Not Available"/>
    <x v="1"/>
    <x v="2"/>
    <x v="2"/>
    <x v="1"/>
    <x v="0"/>
  </r>
  <r>
    <x v="5"/>
    <x v="2"/>
    <x v="5"/>
    <x v="0"/>
    <x v="1"/>
    <x v="2"/>
    <d v="2020-01-15T00:00:00"/>
    <s v="C"/>
    <s v="user@domain.com"/>
    <s v="Not Available"/>
    <x v="1"/>
    <x v="2"/>
    <x v="2"/>
    <x v="1"/>
    <x v="0"/>
  </r>
  <r>
    <x v="7"/>
    <x v="2"/>
    <x v="1"/>
    <x v="1"/>
    <x v="4"/>
    <x v="1"/>
    <d v="2020-01-15T00:00:00"/>
    <s v="F"/>
    <s v="name@company.org"/>
    <s v="Not Available"/>
    <x v="1"/>
    <x v="1"/>
    <x v="0"/>
    <x v="0"/>
    <x v="0"/>
  </r>
  <r>
    <x v="4"/>
    <x v="4"/>
    <x v="1"/>
    <x v="1"/>
    <x v="0"/>
    <x v="4"/>
    <d v="2020-01-15T00:00:00"/>
    <s v="C"/>
    <s v="name@company.org"/>
    <s v="Not Available"/>
    <x v="1"/>
    <x v="1"/>
    <x v="2"/>
    <x v="1"/>
    <x v="0"/>
  </r>
  <r>
    <x v="3"/>
    <x v="4"/>
    <x v="1"/>
    <x v="1"/>
    <x v="4"/>
    <x v="1"/>
    <d v="2020-01-15T00:00:00"/>
    <s v="C"/>
    <s v="email@example.com"/>
    <s v="555-555-5555"/>
    <x v="1"/>
    <x v="1"/>
    <x v="2"/>
    <x v="1"/>
    <x v="0"/>
  </r>
  <r>
    <x v="3"/>
    <x v="2"/>
    <x v="2"/>
    <x v="1"/>
    <x v="1"/>
    <x v="2"/>
    <d v="2020-01-15T00:00:00"/>
    <s v="F"/>
    <s v="email@example.com"/>
    <s v="123-456-7890"/>
    <x v="1"/>
    <x v="2"/>
    <x v="0"/>
    <x v="0"/>
    <x v="0"/>
  </r>
  <r>
    <x v="0"/>
    <x v="2"/>
    <x v="0"/>
    <x v="2"/>
    <x v="1"/>
    <x v="3"/>
    <d v="2020-01-15T00:00:00"/>
    <s v="D"/>
    <s v="user@domain.com"/>
    <s v="123-456-7890"/>
    <x v="1"/>
    <x v="0"/>
    <x v="0"/>
    <x v="0"/>
    <x v="0"/>
  </r>
  <r>
    <x v="4"/>
    <x v="4"/>
    <x v="4"/>
    <x v="1"/>
    <x v="0"/>
    <x v="4"/>
    <d v="2020-01-15T00:00:00"/>
    <s v="C"/>
    <s v="email@example.com"/>
    <s v="098-765-4321"/>
    <x v="1"/>
    <x v="1"/>
    <x v="2"/>
    <x v="1"/>
    <x v="0"/>
  </r>
  <r>
    <x v="6"/>
    <x v="3"/>
    <x v="4"/>
    <x v="2"/>
    <x v="2"/>
    <x v="2"/>
    <d v="2020-01-15T00:00:00"/>
    <s v="B"/>
    <s v="name@company.org"/>
    <s v="Not Available"/>
    <x v="1"/>
    <x v="1"/>
    <x v="2"/>
    <x v="1"/>
    <x v="0"/>
  </r>
  <r>
    <x v="2"/>
    <x v="1"/>
    <x v="2"/>
    <x v="0"/>
    <x v="0"/>
    <x v="1"/>
    <d v="2020-01-15T00:00:00"/>
    <s v="C"/>
    <s v="name@company.org"/>
    <s v="098-765-4321"/>
    <x v="1"/>
    <x v="2"/>
    <x v="2"/>
    <x v="1"/>
    <x v="0"/>
  </r>
  <r>
    <x v="8"/>
    <x v="0"/>
    <x v="2"/>
    <x v="1"/>
    <x v="0"/>
    <x v="3"/>
    <d v="2020-01-15T00:00:00"/>
    <s v="F"/>
    <s v="email@example.com"/>
    <s v="Not Available"/>
    <x v="1"/>
    <x v="2"/>
    <x v="0"/>
    <x v="0"/>
    <x v="0"/>
  </r>
  <r>
    <x v="3"/>
    <x v="1"/>
    <x v="1"/>
    <x v="2"/>
    <x v="0"/>
    <x v="0"/>
    <d v="2020-01-15T00:00:00"/>
    <s v="F"/>
    <s v="email@example.com"/>
    <s v="Not Available"/>
    <x v="1"/>
    <x v="1"/>
    <x v="0"/>
    <x v="0"/>
    <x v="0"/>
  </r>
  <r>
    <x v="8"/>
    <x v="4"/>
    <x v="0"/>
    <x v="2"/>
    <x v="4"/>
    <x v="0"/>
    <d v="2020-01-15T00:00:00"/>
    <s v="D"/>
    <s v="user@domain.com"/>
    <s v="Not Available"/>
    <x v="1"/>
    <x v="0"/>
    <x v="0"/>
    <x v="0"/>
    <x v="0"/>
  </r>
  <r>
    <x v="2"/>
    <x v="1"/>
    <x v="5"/>
    <x v="2"/>
    <x v="2"/>
    <x v="0"/>
    <d v="2020-01-15T00:00:00"/>
    <s v="C"/>
    <s v="name@company.org"/>
    <s v="555-555-5555"/>
    <x v="1"/>
    <x v="2"/>
    <x v="2"/>
    <x v="1"/>
    <x v="0"/>
  </r>
  <r>
    <x v="7"/>
    <x v="4"/>
    <x v="5"/>
    <x v="2"/>
    <x v="1"/>
    <x v="3"/>
    <d v="2020-01-15T00:00:00"/>
    <s v="B"/>
    <s v="email@example.com"/>
    <s v="555-555-5555"/>
    <x v="1"/>
    <x v="2"/>
    <x v="2"/>
    <x v="1"/>
    <x v="0"/>
  </r>
  <r>
    <x v="7"/>
    <x v="1"/>
    <x v="0"/>
    <x v="2"/>
    <x v="2"/>
    <x v="4"/>
    <d v="2020-01-15T00:00:00"/>
    <s v="F"/>
    <s v="email@example.com"/>
    <s v="123-456-7890"/>
    <x v="1"/>
    <x v="0"/>
    <x v="0"/>
    <x v="0"/>
    <x v="0"/>
  </r>
  <r>
    <x v="2"/>
    <x v="1"/>
    <x v="5"/>
    <x v="1"/>
    <x v="3"/>
    <x v="4"/>
    <d v="2020-01-15T00:00:00"/>
    <s v="F"/>
    <s v="name@company.org"/>
    <s v="Not Available"/>
    <x v="1"/>
    <x v="2"/>
    <x v="0"/>
    <x v="0"/>
    <x v="0"/>
  </r>
  <r>
    <x v="3"/>
    <x v="1"/>
    <x v="0"/>
    <x v="0"/>
    <x v="1"/>
    <x v="1"/>
    <d v="2020-01-15T00:00:00"/>
    <s v="B"/>
    <s v="email@example.com"/>
    <s v="098-765-4321"/>
    <x v="1"/>
    <x v="0"/>
    <x v="2"/>
    <x v="1"/>
    <x v="0"/>
  </r>
  <r>
    <x v="4"/>
    <x v="0"/>
    <x v="1"/>
    <x v="0"/>
    <x v="3"/>
    <x v="2"/>
    <d v="2020-01-15T00:00:00"/>
    <s v="A"/>
    <s v="Not Available"/>
    <s v="Not Available"/>
    <x v="1"/>
    <x v="1"/>
    <x v="1"/>
    <x v="1"/>
    <x v="1"/>
  </r>
  <r>
    <x v="9"/>
    <x v="4"/>
    <x v="3"/>
    <x v="1"/>
    <x v="3"/>
    <x v="0"/>
    <d v="2020-01-15T00:00:00"/>
    <s v="F"/>
    <s v="name@company.org"/>
    <s v="Not Available"/>
    <x v="1"/>
    <x v="0"/>
    <x v="0"/>
    <x v="0"/>
    <x v="0"/>
  </r>
  <r>
    <x v="3"/>
    <x v="2"/>
    <x v="1"/>
    <x v="1"/>
    <x v="4"/>
    <x v="2"/>
    <d v="2020-01-15T00:00:00"/>
    <s v="F"/>
    <s v="email@example.com"/>
    <s v="Not Available"/>
    <x v="1"/>
    <x v="1"/>
    <x v="0"/>
    <x v="0"/>
    <x v="0"/>
  </r>
  <r>
    <x v="1"/>
    <x v="0"/>
    <x v="4"/>
    <x v="0"/>
    <x v="1"/>
    <x v="4"/>
    <d v="2020-01-15T00:00:00"/>
    <s v="A"/>
    <s v="email@example.com"/>
    <s v="098-765-4321"/>
    <x v="1"/>
    <x v="1"/>
    <x v="1"/>
    <x v="1"/>
    <x v="1"/>
  </r>
  <r>
    <x v="4"/>
    <x v="1"/>
    <x v="3"/>
    <x v="1"/>
    <x v="4"/>
    <x v="1"/>
    <d v="2020-01-15T00:00:00"/>
    <s v="F"/>
    <s v="Not Available"/>
    <s v="Not Available"/>
    <x v="1"/>
    <x v="0"/>
    <x v="0"/>
    <x v="0"/>
    <x v="0"/>
  </r>
  <r>
    <x v="1"/>
    <x v="3"/>
    <x v="4"/>
    <x v="1"/>
    <x v="1"/>
    <x v="1"/>
    <d v="2020-01-15T00:00:00"/>
    <s v="A"/>
    <s v="Not Available"/>
    <s v="Not Available"/>
    <x v="1"/>
    <x v="1"/>
    <x v="1"/>
    <x v="1"/>
    <x v="1"/>
  </r>
  <r>
    <x v="8"/>
    <x v="2"/>
    <x v="2"/>
    <x v="2"/>
    <x v="1"/>
    <x v="2"/>
    <d v="2020-01-15T00:00:00"/>
    <s v="D"/>
    <s v="email@example.com"/>
    <s v="555-555-5555"/>
    <x v="1"/>
    <x v="2"/>
    <x v="0"/>
    <x v="0"/>
    <x v="0"/>
  </r>
  <r>
    <x v="1"/>
    <x v="3"/>
    <x v="5"/>
    <x v="2"/>
    <x v="2"/>
    <x v="0"/>
    <d v="2020-01-15T00:00:00"/>
    <s v="B"/>
    <s v="Not Available"/>
    <s v="123-456-7890"/>
    <x v="1"/>
    <x v="2"/>
    <x v="2"/>
    <x v="1"/>
    <x v="0"/>
  </r>
  <r>
    <x v="1"/>
    <x v="0"/>
    <x v="4"/>
    <x v="2"/>
    <x v="2"/>
    <x v="2"/>
    <d v="2020-01-15T00:00:00"/>
    <s v="D"/>
    <s v="name@company.org"/>
    <s v="Not Available"/>
    <x v="1"/>
    <x v="1"/>
    <x v="0"/>
    <x v="0"/>
    <x v="0"/>
  </r>
  <r>
    <x v="9"/>
    <x v="4"/>
    <x v="4"/>
    <x v="1"/>
    <x v="3"/>
    <x v="3"/>
    <d v="2020-01-15T00:00:00"/>
    <s v="B"/>
    <s v="user@domain.com"/>
    <s v="098-765-4321"/>
    <x v="1"/>
    <x v="1"/>
    <x v="2"/>
    <x v="1"/>
    <x v="0"/>
  </r>
  <r>
    <x v="3"/>
    <x v="2"/>
    <x v="0"/>
    <x v="1"/>
    <x v="3"/>
    <x v="2"/>
    <d v="2020-01-15T00:00:00"/>
    <s v="F"/>
    <s v="name@company.org"/>
    <s v="098-765-4321"/>
    <x v="1"/>
    <x v="0"/>
    <x v="0"/>
    <x v="0"/>
    <x v="0"/>
  </r>
  <r>
    <x v="0"/>
    <x v="4"/>
    <x v="3"/>
    <x v="0"/>
    <x v="0"/>
    <x v="4"/>
    <d v="2020-01-15T00:00:00"/>
    <s v="F"/>
    <s v="email@example.com"/>
    <s v="098-765-4321"/>
    <x v="1"/>
    <x v="0"/>
    <x v="0"/>
    <x v="0"/>
    <x v="0"/>
  </r>
  <r>
    <x v="6"/>
    <x v="2"/>
    <x v="4"/>
    <x v="2"/>
    <x v="3"/>
    <x v="3"/>
    <d v="2020-01-15T00:00:00"/>
    <s v="B"/>
    <s v="name@company.org"/>
    <s v="Not Available"/>
    <x v="1"/>
    <x v="1"/>
    <x v="2"/>
    <x v="1"/>
    <x v="0"/>
  </r>
  <r>
    <x v="0"/>
    <x v="0"/>
    <x v="1"/>
    <x v="2"/>
    <x v="1"/>
    <x v="4"/>
    <d v="2020-01-15T00:00:00"/>
    <s v="B"/>
    <s v="Not Available"/>
    <s v="098-765-4321"/>
    <x v="1"/>
    <x v="1"/>
    <x v="2"/>
    <x v="1"/>
    <x v="0"/>
  </r>
  <r>
    <x v="1"/>
    <x v="4"/>
    <x v="2"/>
    <x v="1"/>
    <x v="2"/>
    <x v="3"/>
    <d v="2020-01-15T00:00:00"/>
    <s v="D"/>
    <s v="user@domain.com"/>
    <s v="555-555-5555"/>
    <x v="1"/>
    <x v="2"/>
    <x v="0"/>
    <x v="0"/>
    <x v="0"/>
  </r>
  <r>
    <x v="6"/>
    <x v="2"/>
    <x v="2"/>
    <x v="0"/>
    <x v="0"/>
    <x v="1"/>
    <d v="2020-01-15T00:00:00"/>
    <s v="C"/>
    <s v="email@example.com"/>
    <s v="123-456-7890"/>
    <x v="1"/>
    <x v="2"/>
    <x v="2"/>
    <x v="1"/>
    <x v="0"/>
  </r>
  <r>
    <x v="2"/>
    <x v="1"/>
    <x v="3"/>
    <x v="1"/>
    <x v="4"/>
    <x v="3"/>
    <d v="2020-01-15T00:00:00"/>
    <s v="A"/>
    <s v="user@domain.com"/>
    <s v="Not Available"/>
    <x v="1"/>
    <x v="0"/>
    <x v="1"/>
    <x v="1"/>
    <x v="1"/>
  </r>
  <r>
    <x v="4"/>
    <x v="0"/>
    <x v="5"/>
    <x v="2"/>
    <x v="0"/>
    <x v="3"/>
    <d v="2020-01-15T00:00:00"/>
    <s v="F"/>
    <s v="Not Available"/>
    <s v="Not Available"/>
    <x v="1"/>
    <x v="2"/>
    <x v="0"/>
    <x v="0"/>
    <x v="0"/>
  </r>
  <r>
    <x v="3"/>
    <x v="4"/>
    <x v="3"/>
    <x v="2"/>
    <x v="0"/>
    <x v="4"/>
    <d v="2020-01-15T00:00:00"/>
    <s v="C"/>
    <s v="Not Available"/>
    <s v="098-765-4321"/>
    <x v="1"/>
    <x v="0"/>
    <x v="2"/>
    <x v="1"/>
    <x v="0"/>
  </r>
  <r>
    <x v="4"/>
    <x v="2"/>
    <x v="3"/>
    <x v="2"/>
    <x v="3"/>
    <x v="2"/>
    <d v="2020-01-15T00:00:00"/>
    <s v="D"/>
    <s v="Not Available"/>
    <s v="555-555-5555"/>
    <x v="1"/>
    <x v="0"/>
    <x v="0"/>
    <x v="0"/>
    <x v="0"/>
  </r>
  <r>
    <x v="1"/>
    <x v="1"/>
    <x v="4"/>
    <x v="0"/>
    <x v="1"/>
    <x v="0"/>
    <d v="2020-01-15T00:00:00"/>
    <s v="C"/>
    <s v="email@example.com"/>
    <s v="Not Available"/>
    <x v="1"/>
    <x v="1"/>
    <x v="2"/>
    <x v="1"/>
    <x v="0"/>
  </r>
  <r>
    <x v="0"/>
    <x v="1"/>
    <x v="4"/>
    <x v="2"/>
    <x v="1"/>
    <x v="1"/>
    <d v="2020-01-15T00:00:00"/>
    <s v="C"/>
    <s v="Not Available"/>
    <s v="Not Available"/>
    <x v="1"/>
    <x v="1"/>
    <x v="2"/>
    <x v="1"/>
    <x v="0"/>
  </r>
  <r>
    <x v="5"/>
    <x v="3"/>
    <x v="3"/>
    <x v="2"/>
    <x v="3"/>
    <x v="0"/>
    <d v="2020-01-15T00:00:00"/>
    <s v="B"/>
    <s v="Not Available"/>
    <s v="555-555-5555"/>
    <x v="1"/>
    <x v="0"/>
    <x v="2"/>
    <x v="1"/>
    <x v="0"/>
  </r>
  <r>
    <x v="0"/>
    <x v="0"/>
    <x v="2"/>
    <x v="1"/>
    <x v="0"/>
    <x v="3"/>
    <d v="2020-01-15T00:00:00"/>
    <s v="F"/>
    <s v="email@example.com"/>
    <s v="555-555-5555"/>
    <x v="1"/>
    <x v="2"/>
    <x v="0"/>
    <x v="0"/>
    <x v="0"/>
  </r>
  <r>
    <x v="9"/>
    <x v="0"/>
    <x v="2"/>
    <x v="2"/>
    <x v="0"/>
    <x v="0"/>
    <d v="2020-01-15T00:00:00"/>
    <s v="D"/>
    <s v="name@company.org"/>
    <s v="098-765-4321"/>
    <x v="1"/>
    <x v="2"/>
    <x v="0"/>
    <x v="0"/>
    <x v="0"/>
  </r>
  <r>
    <x v="4"/>
    <x v="2"/>
    <x v="3"/>
    <x v="2"/>
    <x v="4"/>
    <x v="0"/>
    <d v="2020-01-15T00:00:00"/>
    <s v="D"/>
    <s v="email@example.com"/>
    <s v="123-456-7890"/>
    <x v="1"/>
    <x v="0"/>
    <x v="0"/>
    <x v="0"/>
    <x v="0"/>
  </r>
  <r>
    <x v="4"/>
    <x v="0"/>
    <x v="2"/>
    <x v="2"/>
    <x v="3"/>
    <x v="0"/>
    <d v="2020-01-15T00:00:00"/>
    <s v="A"/>
    <s v="name@company.org"/>
    <s v="Not Available"/>
    <x v="1"/>
    <x v="2"/>
    <x v="1"/>
    <x v="1"/>
    <x v="1"/>
  </r>
  <r>
    <x v="9"/>
    <x v="2"/>
    <x v="5"/>
    <x v="0"/>
    <x v="3"/>
    <x v="3"/>
    <d v="2020-01-15T00:00:00"/>
    <s v="B"/>
    <s v="email@example.com"/>
    <s v="098-765-4321"/>
    <x v="1"/>
    <x v="2"/>
    <x v="2"/>
    <x v="1"/>
    <x v="0"/>
  </r>
  <r>
    <x v="2"/>
    <x v="0"/>
    <x v="5"/>
    <x v="1"/>
    <x v="1"/>
    <x v="4"/>
    <d v="2020-01-15T00:00:00"/>
    <s v="C"/>
    <s v="Not Available"/>
    <s v="098-765-4321"/>
    <x v="1"/>
    <x v="2"/>
    <x v="2"/>
    <x v="1"/>
    <x v="0"/>
  </r>
  <r>
    <x v="9"/>
    <x v="1"/>
    <x v="2"/>
    <x v="2"/>
    <x v="0"/>
    <x v="3"/>
    <d v="2020-01-15T00:00:00"/>
    <s v="A"/>
    <s v="user@domain.com"/>
    <s v="555-555-5555"/>
    <x v="1"/>
    <x v="2"/>
    <x v="1"/>
    <x v="1"/>
    <x v="1"/>
  </r>
  <r>
    <x v="0"/>
    <x v="4"/>
    <x v="3"/>
    <x v="2"/>
    <x v="3"/>
    <x v="1"/>
    <d v="2020-01-15T00:00:00"/>
    <s v="C"/>
    <s v="user@domain.com"/>
    <s v="098-765-4321"/>
    <x v="1"/>
    <x v="0"/>
    <x v="2"/>
    <x v="1"/>
    <x v="0"/>
  </r>
  <r>
    <x v="1"/>
    <x v="4"/>
    <x v="0"/>
    <x v="0"/>
    <x v="0"/>
    <x v="3"/>
    <d v="2020-01-15T00:00:00"/>
    <s v="F"/>
    <s v="Not Available"/>
    <s v="123-456-7890"/>
    <x v="1"/>
    <x v="0"/>
    <x v="0"/>
    <x v="0"/>
    <x v="0"/>
  </r>
  <r>
    <x v="5"/>
    <x v="4"/>
    <x v="3"/>
    <x v="2"/>
    <x v="3"/>
    <x v="0"/>
    <d v="2020-01-15T00:00:00"/>
    <s v="F"/>
    <s v="email@example.com"/>
    <s v="Not Available"/>
    <x v="1"/>
    <x v="0"/>
    <x v="0"/>
    <x v="0"/>
    <x v="0"/>
  </r>
  <r>
    <x v="3"/>
    <x v="4"/>
    <x v="4"/>
    <x v="2"/>
    <x v="2"/>
    <x v="0"/>
    <d v="2020-01-15T00:00:00"/>
    <s v="A"/>
    <s v="Not Available"/>
    <s v="Not Available"/>
    <x v="1"/>
    <x v="1"/>
    <x v="1"/>
    <x v="1"/>
    <x v="1"/>
  </r>
  <r>
    <x v="3"/>
    <x v="2"/>
    <x v="2"/>
    <x v="1"/>
    <x v="1"/>
    <x v="3"/>
    <d v="2020-01-15T00:00:00"/>
    <s v="F"/>
    <s v="Not Available"/>
    <s v="123-456-7890"/>
    <x v="1"/>
    <x v="2"/>
    <x v="0"/>
    <x v="0"/>
    <x v="0"/>
  </r>
  <r>
    <x v="4"/>
    <x v="4"/>
    <x v="0"/>
    <x v="0"/>
    <x v="2"/>
    <x v="4"/>
    <d v="2020-01-15T00:00:00"/>
    <s v="D"/>
    <s v="Not Available"/>
    <s v="123-456-7890"/>
    <x v="1"/>
    <x v="0"/>
    <x v="0"/>
    <x v="0"/>
    <x v="0"/>
  </r>
  <r>
    <x v="3"/>
    <x v="1"/>
    <x v="4"/>
    <x v="0"/>
    <x v="1"/>
    <x v="0"/>
    <d v="2020-01-15T00:00:00"/>
    <s v="A"/>
    <s v="Not Available"/>
    <s v="098-765-4321"/>
    <x v="1"/>
    <x v="1"/>
    <x v="1"/>
    <x v="1"/>
    <x v="1"/>
  </r>
  <r>
    <x v="9"/>
    <x v="4"/>
    <x v="1"/>
    <x v="0"/>
    <x v="1"/>
    <x v="1"/>
    <d v="2020-01-15T00:00:00"/>
    <s v="C"/>
    <s v="name@company.org"/>
    <s v="098-765-4321"/>
    <x v="1"/>
    <x v="1"/>
    <x v="2"/>
    <x v="1"/>
    <x v="0"/>
  </r>
  <r>
    <x v="8"/>
    <x v="1"/>
    <x v="0"/>
    <x v="0"/>
    <x v="3"/>
    <x v="2"/>
    <d v="2020-01-15T00:00:00"/>
    <s v="D"/>
    <s v="Not Available"/>
    <s v="555-555-5555"/>
    <x v="1"/>
    <x v="0"/>
    <x v="0"/>
    <x v="0"/>
    <x v="0"/>
  </r>
  <r>
    <x v="0"/>
    <x v="2"/>
    <x v="5"/>
    <x v="2"/>
    <x v="2"/>
    <x v="0"/>
    <d v="2020-01-15T00:00:00"/>
    <s v="D"/>
    <s v="name@company.org"/>
    <s v="123-456-7890"/>
    <x v="1"/>
    <x v="2"/>
    <x v="0"/>
    <x v="0"/>
    <x v="0"/>
  </r>
  <r>
    <x v="0"/>
    <x v="4"/>
    <x v="4"/>
    <x v="1"/>
    <x v="1"/>
    <x v="1"/>
    <d v="2020-01-15T00:00:00"/>
    <s v="D"/>
    <s v="user@domain.com"/>
    <s v="555-555-5555"/>
    <x v="1"/>
    <x v="1"/>
    <x v="0"/>
    <x v="0"/>
    <x v="0"/>
  </r>
  <r>
    <x v="8"/>
    <x v="3"/>
    <x v="5"/>
    <x v="1"/>
    <x v="3"/>
    <x v="3"/>
    <d v="2020-01-15T00:00:00"/>
    <s v="A"/>
    <s v="name@company.org"/>
    <s v="Not Available"/>
    <x v="1"/>
    <x v="2"/>
    <x v="1"/>
    <x v="1"/>
    <x v="1"/>
  </r>
  <r>
    <x v="6"/>
    <x v="4"/>
    <x v="1"/>
    <x v="1"/>
    <x v="4"/>
    <x v="0"/>
    <d v="2020-01-15T00:00:00"/>
    <s v="B"/>
    <s v="Not Available"/>
    <s v="555-555-5555"/>
    <x v="1"/>
    <x v="1"/>
    <x v="2"/>
    <x v="1"/>
    <x v="0"/>
  </r>
  <r>
    <x v="3"/>
    <x v="3"/>
    <x v="2"/>
    <x v="2"/>
    <x v="2"/>
    <x v="3"/>
    <d v="2020-01-15T00:00:00"/>
    <s v="B"/>
    <s v="name@company.org"/>
    <s v="Not Available"/>
    <x v="1"/>
    <x v="2"/>
    <x v="2"/>
    <x v="1"/>
    <x v="0"/>
  </r>
  <r>
    <x v="2"/>
    <x v="0"/>
    <x v="2"/>
    <x v="0"/>
    <x v="2"/>
    <x v="3"/>
    <d v="2020-01-15T00:00:00"/>
    <s v="B"/>
    <s v="Not Available"/>
    <s v="123-456-7890"/>
    <x v="1"/>
    <x v="2"/>
    <x v="2"/>
    <x v="1"/>
    <x v="0"/>
  </r>
  <r>
    <x v="5"/>
    <x v="3"/>
    <x v="3"/>
    <x v="1"/>
    <x v="0"/>
    <x v="4"/>
    <d v="2020-01-15T00:00:00"/>
    <s v="B"/>
    <s v="user@domain.com"/>
    <s v="098-765-4321"/>
    <x v="1"/>
    <x v="0"/>
    <x v="2"/>
    <x v="1"/>
    <x v="0"/>
  </r>
  <r>
    <x v="8"/>
    <x v="3"/>
    <x v="5"/>
    <x v="2"/>
    <x v="4"/>
    <x v="2"/>
    <d v="2020-01-15T00:00:00"/>
    <s v="A"/>
    <s v="name@company.org"/>
    <s v="Not Available"/>
    <x v="1"/>
    <x v="2"/>
    <x v="1"/>
    <x v="1"/>
    <x v="1"/>
  </r>
  <r>
    <x v="0"/>
    <x v="3"/>
    <x v="0"/>
    <x v="2"/>
    <x v="1"/>
    <x v="3"/>
    <d v="2020-01-15T00:00:00"/>
    <s v="C"/>
    <s v="user@domain.com"/>
    <s v="555-555-5555"/>
    <x v="1"/>
    <x v="0"/>
    <x v="2"/>
    <x v="1"/>
    <x v="0"/>
  </r>
  <r>
    <x v="0"/>
    <x v="0"/>
    <x v="2"/>
    <x v="1"/>
    <x v="0"/>
    <x v="1"/>
    <d v="2020-01-15T00:00:00"/>
    <s v="D"/>
    <s v="email@example.com"/>
    <s v="Not Available"/>
    <x v="1"/>
    <x v="2"/>
    <x v="0"/>
    <x v="0"/>
    <x v="0"/>
  </r>
  <r>
    <x v="9"/>
    <x v="2"/>
    <x v="0"/>
    <x v="1"/>
    <x v="1"/>
    <x v="1"/>
    <d v="2020-01-15T00:00:00"/>
    <s v="C"/>
    <s v="email@example.com"/>
    <s v="098-765-4321"/>
    <x v="1"/>
    <x v="0"/>
    <x v="2"/>
    <x v="1"/>
    <x v="0"/>
  </r>
  <r>
    <x v="1"/>
    <x v="3"/>
    <x v="0"/>
    <x v="2"/>
    <x v="2"/>
    <x v="2"/>
    <d v="2020-01-15T00:00:00"/>
    <s v="F"/>
    <s v="Not Available"/>
    <s v="098-765-4321"/>
    <x v="1"/>
    <x v="0"/>
    <x v="0"/>
    <x v="0"/>
    <x v="0"/>
  </r>
  <r>
    <x v="8"/>
    <x v="2"/>
    <x v="4"/>
    <x v="1"/>
    <x v="2"/>
    <x v="0"/>
    <d v="2020-01-15T00:00:00"/>
    <s v="B"/>
    <s v="name@company.org"/>
    <s v="Not Available"/>
    <x v="1"/>
    <x v="1"/>
    <x v="2"/>
    <x v="1"/>
    <x v="0"/>
  </r>
  <r>
    <x v="2"/>
    <x v="3"/>
    <x v="5"/>
    <x v="2"/>
    <x v="3"/>
    <x v="3"/>
    <d v="2020-01-15T00:00:00"/>
    <s v="A"/>
    <s v="user@domain.com"/>
    <s v="098-765-4321"/>
    <x v="1"/>
    <x v="2"/>
    <x v="1"/>
    <x v="1"/>
    <x v="1"/>
  </r>
  <r>
    <x v="5"/>
    <x v="3"/>
    <x v="4"/>
    <x v="1"/>
    <x v="2"/>
    <x v="0"/>
    <d v="2020-01-15T00:00:00"/>
    <s v="C"/>
    <s v="name@company.org"/>
    <s v="098-765-4321"/>
    <x v="1"/>
    <x v="1"/>
    <x v="2"/>
    <x v="1"/>
    <x v="0"/>
  </r>
  <r>
    <x v="7"/>
    <x v="0"/>
    <x v="1"/>
    <x v="0"/>
    <x v="3"/>
    <x v="1"/>
    <d v="2020-01-15T00:00:00"/>
    <s v="D"/>
    <s v="user@domain.com"/>
    <s v="Not Available"/>
    <x v="1"/>
    <x v="1"/>
    <x v="0"/>
    <x v="0"/>
    <x v="0"/>
  </r>
  <r>
    <x v="7"/>
    <x v="1"/>
    <x v="0"/>
    <x v="0"/>
    <x v="3"/>
    <x v="4"/>
    <d v="2020-01-15T00:00:00"/>
    <s v="A"/>
    <s v="name@company.org"/>
    <s v="Not Available"/>
    <x v="1"/>
    <x v="0"/>
    <x v="1"/>
    <x v="1"/>
    <x v="1"/>
  </r>
  <r>
    <x v="1"/>
    <x v="3"/>
    <x v="5"/>
    <x v="1"/>
    <x v="3"/>
    <x v="4"/>
    <d v="2020-01-15T00:00:00"/>
    <s v="C"/>
    <s v="email@example.com"/>
    <s v="123-456-7890"/>
    <x v="1"/>
    <x v="2"/>
    <x v="2"/>
    <x v="1"/>
    <x v="0"/>
  </r>
  <r>
    <x v="8"/>
    <x v="2"/>
    <x v="1"/>
    <x v="2"/>
    <x v="3"/>
    <x v="3"/>
    <d v="2020-01-15T00:00:00"/>
    <s v="F"/>
    <s v="email@example.com"/>
    <s v="123-456-7890"/>
    <x v="1"/>
    <x v="1"/>
    <x v="0"/>
    <x v="0"/>
    <x v="0"/>
  </r>
  <r>
    <x v="8"/>
    <x v="3"/>
    <x v="3"/>
    <x v="2"/>
    <x v="3"/>
    <x v="4"/>
    <d v="2020-01-15T00:00:00"/>
    <s v="B"/>
    <s v="email@example.com"/>
    <s v="123-456-7890"/>
    <x v="1"/>
    <x v="0"/>
    <x v="2"/>
    <x v="1"/>
    <x v="0"/>
  </r>
  <r>
    <x v="6"/>
    <x v="1"/>
    <x v="2"/>
    <x v="1"/>
    <x v="0"/>
    <x v="1"/>
    <d v="2020-01-15T00:00:00"/>
    <s v="C"/>
    <s v="Not Available"/>
    <s v="123-456-7890"/>
    <x v="1"/>
    <x v="2"/>
    <x v="2"/>
    <x v="1"/>
    <x v="0"/>
  </r>
  <r>
    <x v="2"/>
    <x v="4"/>
    <x v="2"/>
    <x v="0"/>
    <x v="3"/>
    <x v="1"/>
    <d v="2020-01-15T00:00:00"/>
    <s v="C"/>
    <s v="name@company.org"/>
    <s v="123-456-7890"/>
    <x v="1"/>
    <x v="2"/>
    <x v="2"/>
    <x v="1"/>
    <x v="0"/>
  </r>
  <r>
    <x v="4"/>
    <x v="0"/>
    <x v="3"/>
    <x v="2"/>
    <x v="1"/>
    <x v="1"/>
    <d v="2020-01-15T00:00:00"/>
    <s v="D"/>
    <s v="Not Available"/>
    <s v="Not Available"/>
    <x v="1"/>
    <x v="0"/>
    <x v="0"/>
    <x v="0"/>
    <x v="0"/>
  </r>
  <r>
    <x v="5"/>
    <x v="2"/>
    <x v="3"/>
    <x v="1"/>
    <x v="0"/>
    <x v="1"/>
    <d v="2020-01-15T00:00:00"/>
    <s v="C"/>
    <s v="name@company.org"/>
    <s v="123-456-7890"/>
    <x v="1"/>
    <x v="0"/>
    <x v="2"/>
    <x v="1"/>
    <x v="0"/>
  </r>
  <r>
    <x v="6"/>
    <x v="4"/>
    <x v="3"/>
    <x v="0"/>
    <x v="3"/>
    <x v="0"/>
    <d v="2020-01-15T00:00:00"/>
    <s v="B"/>
    <s v="Not Available"/>
    <s v="098-765-4321"/>
    <x v="1"/>
    <x v="0"/>
    <x v="2"/>
    <x v="1"/>
    <x v="0"/>
  </r>
  <r>
    <x v="4"/>
    <x v="3"/>
    <x v="3"/>
    <x v="1"/>
    <x v="2"/>
    <x v="1"/>
    <d v="2020-01-15T00:00:00"/>
    <s v="C"/>
    <s v="email@example.com"/>
    <s v="Not Available"/>
    <x v="1"/>
    <x v="0"/>
    <x v="2"/>
    <x v="1"/>
    <x v="0"/>
  </r>
  <r>
    <x v="1"/>
    <x v="4"/>
    <x v="0"/>
    <x v="2"/>
    <x v="4"/>
    <x v="4"/>
    <d v="2020-01-15T00:00:00"/>
    <s v="F"/>
    <s v="Not Available"/>
    <s v="Not Available"/>
    <x v="1"/>
    <x v="0"/>
    <x v="0"/>
    <x v="0"/>
    <x v="0"/>
  </r>
  <r>
    <x v="8"/>
    <x v="0"/>
    <x v="2"/>
    <x v="0"/>
    <x v="4"/>
    <x v="4"/>
    <d v="2020-01-15T00:00:00"/>
    <s v="D"/>
    <s v="Not Available"/>
    <s v="123-456-7890"/>
    <x v="1"/>
    <x v="2"/>
    <x v="0"/>
    <x v="0"/>
    <x v="0"/>
  </r>
  <r>
    <x v="1"/>
    <x v="1"/>
    <x v="4"/>
    <x v="2"/>
    <x v="4"/>
    <x v="0"/>
    <d v="2020-01-15T00:00:00"/>
    <s v="D"/>
    <s v="user@domain.com"/>
    <s v="Not Available"/>
    <x v="1"/>
    <x v="1"/>
    <x v="0"/>
    <x v="0"/>
    <x v="0"/>
  </r>
  <r>
    <x v="1"/>
    <x v="1"/>
    <x v="3"/>
    <x v="0"/>
    <x v="3"/>
    <x v="4"/>
    <d v="2020-01-15T00:00:00"/>
    <s v="F"/>
    <s v="Not Available"/>
    <s v="123-456-7890"/>
    <x v="1"/>
    <x v="0"/>
    <x v="0"/>
    <x v="0"/>
    <x v="0"/>
  </r>
  <r>
    <x v="9"/>
    <x v="0"/>
    <x v="0"/>
    <x v="0"/>
    <x v="2"/>
    <x v="1"/>
    <d v="2020-01-15T00:00:00"/>
    <s v="D"/>
    <s v="name@company.org"/>
    <s v="555-555-5555"/>
    <x v="1"/>
    <x v="0"/>
    <x v="0"/>
    <x v="0"/>
    <x v="0"/>
  </r>
  <r>
    <x v="2"/>
    <x v="0"/>
    <x v="0"/>
    <x v="0"/>
    <x v="3"/>
    <x v="3"/>
    <d v="2020-01-15T00:00:00"/>
    <s v="F"/>
    <s v="Not Available"/>
    <s v="098-765-4321"/>
    <x v="1"/>
    <x v="0"/>
    <x v="0"/>
    <x v="0"/>
    <x v="0"/>
  </r>
  <r>
    <x v="0"/>
    <x v="3"/>
    <x v="1"/>
    <x v="2"/>
    <x v="0"/>
    <x v="0"/>
    <d v="2020-01-15T00:00:00"/>
    <s v="B"/>
    <s v="user@domain.com"/>
    <s v="Not Available"/>
    <x v="1"/>
    <x v="1"/>
    <x v="2"/>
    <x v="1"/>
    <x v="0"/>
  </r>
  <r>
    <x v="4"/>
    <x v="3"/>
    <x v="5"/>
    <x v="1"/>
    <x v="4"/>
    <x v="2"/>
    <d v="2020-01-15T00:00:00"/>
    <s v="A"/>
    <s v="email@example.com"/>
    <s v="Not Available"/>
    <x v="1"/>
    <x v="2"/>
    <x v="1"/>
    <x v="1"/>
    <x v="1"/>
  </r>
  <r>
    <x v="8"/>
    <x v="4"/>
    <x v="2"/>
    <x v="1"/>
    <x v="0"/>
    <x v="1"/>
    <d v="2020-01-15T00:00:00"/>
    <s v="C"/>
    <s v="name@company.org"/>
    <s v="Not Available"/>
    <x v="1"/>
    <x v="2"/>
    <x v="2"/>
    <x v="1"/>
    <x v="0"/>
  </r>
  <r>
    <x v="2"/>
    <x v="4"/>
    <x v="5"/>
    <x v="2"/>
    <x v="0"/>
    <x v="0"/>
    <d v="2020-01-15T00:00:00"/>
    <s v="C"/>
    <s v="user@domain.com"/>
    <s v="Not Available"/>
    <x v="1"/>
    <x v="2"/>
    <x v="2"/>
    <x v="1"/>
    <x v="0"/>
  </r>
  <r>
    <x v="2"/>
    <x v="0"/>
    <x v="0"/>
    <x v="1"/>
    <x v="2"/>
    <x v="1"/>
    <d v="2020-01-15T00:00:00"/>
    <s v="B"/>
    <s v="user@domain.com"/>
    <s v="123-456-7890"/>
    <x v="1"/>
    <x v="0"/>
    <x v="2"/>
    <x v="1"/>
    <x v="0"/>
  </r>
  <r>
    <x v="8"/>
    <x v="3"/>
    <x v="2"/>
    <x v="2"/>
    <x v="2"/>
    <x v="1"/>
    <d v="2020-01-15T00:00:00"/>
    <s v="D"/>
    <s v="Not Available"/>
    <s v="555-555-5555"/>
    <x v="1"/>
    <x v="2"/>
    <x v="0"/>
    <x v="0"/>
    <x v="0"/>
  </r>
  <r>
    <x v="7"/>
    <x v="2"/>
    <x v="0"/>
    <x v="0"/>
    <x v="1"/>
    <x v="3"/>
    <d v="2020-01-15T00:00:00"/>
    <s v="F"/>
    <s v="Not Available"/>
    <s v="098-765-4321"/>
    <x v="1"/>
    <x v="0"/>
    <x v="0"/>
    <x v="0"/>
    <x v="0"/>
  </r>
  <r>
    <x v="3"/>
    <x v="1"/>
    <x v="3"/>
    <x v="0"/>
    <x v="3"/>
    <x v="2"/>
    <d v="2020-01-15T00:00:00"/>
    <s v="A"/>
    <s v="Not Available"/>
    <s v="Not Available"/>
    <x v="1"/>
    <x v="0"/>
    <x v="1"/>
    <x v="1"/>
    <x v="1"/>
  </r>
  <r>
    <x v="6"/>
    <x v="4"/>
    <x v="2"/>
    <x v="2"/>
    <x v="0"/>
    <x v="3"/>
    <d v="2020-01-15T00:00:00"/>
    <s v="A"/>
    <s v="Not Available"/>
    <s v="098-765-4321"/>
    <x v="1"/>
    <x v="2"/>
    <x v="1"/>
    <x v="1"/>
    <x v="1"/>
  </r>
  <r>
    <x v="1"/>
    <x v="3"/>
    <x v="4"/>
    <x v="1"/>
    <x v="3"/>
    <x v="3"/>
    <d v="2020-01-15T00:00:00"/>
    <s v="F"/>
    <s v="name@company.org"/>
    <s v="123-456-7890"/>
    <x v="1"/>
    <x v="1"/>
    <x v="0"/>
    <x v="0"/>
    <x v="0"/>
  </r>
  <r>
    <x v="5"/>
    <x v="3"/>
    <x v="5"/>
    <x v="1"/>
    <x v="3"/>
    <x v="2"/>
    <d v="2020-01-15T00:00:00"/>
    <s v="F"/>
    <s v="email@example.com"/>
    <s v="Not Available"/>
    <x v="1"/>
    <x v="2"/>
    <x v="0"/>
    <x v="0"/>
    <x v="0"/>
  </r>
  <r>
    <x v="8"/>
    <x v="0"/>
    <x v="4"/>
    <x v="2"/>
    <x v="4"/>
    <x v="4"/>
    <d v="2020-01-15T00:00:00"/>
    <s v="F"/>
    <s v="Not Available"/>
    <s v="123-456-7890"/>
    <x v="1"/>
    <x v="1"/>
    <x v="0"/>
    <x v="0"/>
    <x v="0"/>
  </r>
  <r>
    <x v="3"/>
    <x v="2"/>
    <x v="0"/>
    <x v="2"/>
    <x v="4"/>
    <x v="4"/>
    <d v="2020-01-15T00:00:00"/>
    <s v="A"/>
    <s v="name@company.org"/>
    <s v="Not Available"/>
    <x v="1"/>
    <x v="0"/>
    <x v="1"/>
    <x v="1"/>
    <x v="1"/>
  </r>
  <r>
    <x v="0"/>
    <x v="3"/>
    <x v="4"/>
    <x v="2"/>
    <x v="1"/>
    <x v="1"/>
    <d v="2020-01-15T00:00:00"/>
    <s v="F"/>
    <s v="name@company.org"/>
    <s v="Not Available"/>
    <x v="1"/>
    <x v="1"/>
    <x v="0"/>
    <x v="0"/>
    <x v="0"/>
  </r>
  <r>
    <x v="9"/>
    <x v="1"/>
    <x v="3"/>
    <x v="0"/>
    <x v="3"/>
    <x v="1"/>
    <d v="2020-01-15T00:00:00"/>
    <s v="B"/>
    <s v="Not Available"/>
    <s v="555-555-5555"/>
    <x v="1"/>
    <x v="0"/>
    <x v="2"/>
    <x v="1"/>
    <x v="0"/>
  </r>
  <r>
    <x v="6"/>
    <x v="0"/>
    <x v="4"/>
    <x v="1"/>
    <x v="3"/>
    <x v="2"/>
    <d v="2020-01-15T00:00:00"/>
    <s v="A"/>
    <s v="name@company.org"/>
    <s v="Not Available"/>
    <x v="1"/>
    <x v="1"/>
    <x v="1"/>
    <x v="1"/>
    <x v="1"/>
  </r>
  <r>
    <x v="6"/>
    <x v="0"/>
    <x v="5"/>
    <x v="1"/>
    <x v="4"/>
    <x v="0"/>
    <d v="2020-01-15T00:00:00"/>
    <s v="B"/>
    <s v="user@domain.com"/>
    <s v="098-765-4321"/>
    <x v="1"/>
    <x v="2"/>
    <x v="2"/>
    <x v="1"/>
    <x v="0"/>
  </r>
  <r>
    <x v="4"/>
    <x v="1"/>
    <x v="2"/>
    <x v="2"/>
    <x v="2"/>
    <x v="2"/>
    <d v="2020-01-15T00:00:00"/>
    <s v="B"/>
    <s v="name@company.org"/>
    <s v="Not Available"/>
    <x v="1"/>
    <x v="2"/>
    <x v="2"/>
    <x v="1"/>
    <x v="0"/>
  </r>
  <r>
    <x v="3"/>
    <x v="0"/>
    <x v="1"/>
    <x v="1"/>
    <x v="3"/>
    <x v="1"/>
    <d v="2020-01-15T00:00:00"/>
    <s v="A"/>
    <s v="Not Available"/>
    <s v="Not Available"/>
    <x v="1"/>
    <x v="1"/>
    <x v="1"/>
    <x v="1"/>
    <x v="1"/>
  </r>
  <r>
    <x v="9"/>
    <x v="2"/>
    <x v="1"/>
    <x v="0"/>
    <x v="0"/>
    <x v="4"/>
    <d v="2020-01-15T00:00:00"/>
    <s v="B"/>
    <s v="user@domain.com"/>
    <s v="123-456-7890"/>
    <x v="1"/>
    <x v="1"/>
    <x v="2"/>
    <x v="1"/>
    <x v="0"/>
  </r>
  <r>
    <x v="2"/>
    <x v="0"/>
    <x v="5"/>
    <x v="2"/>
    <x v="0"/>
    <x v="1"/>
    <d v="2020-01-15T00:00:00"/>
    <s v="F"/>
    <s v="user@domain.com"/>
    <s v="555-555-5555"/>
    <x v="1"/>
    <x v="2"/>
    <x v="0"/>
    <x v="0"/>
    <x v="0"/>
  </r>
  <r>
    <x v="6"/>
    <x v="4"/>
    <x v="0"/>
    <x v="2"/>
    <x v="4"/>
    <x v="0"/>
    <d v="2020-01-15T00:00:00"/>
    <s v="C"/>
    <s v="user@domain.com"/>
    <s v="Not Available"/>
    <x v="1"/>
    <x v="0"/>
    <x v="2"/>
    <x v="1"/>
    <x v="0"/>
  </r>
  <r>
    <x v="8"/>
    <x v="1"/>
    <x v="1"/>
    <x v="0"/>
    <x v="3"/>
    <x v="2"/>
    <d v="2020-01-15T00:00:00"/>
    <s v="D"/>
    <s v="user@domain.com"/>
    <s v="098-765-4321"/>
    <x v="1"/>
    <x v="1"/>
    <x v="0"/>
    <x v="0"/>
    <x v="0"/>
  </r>
  <r>
    <x v="1"/>
    <x v="4"/>
    <x v="1"/>
    <x v="1"/>
    <x v="0"/>
    <x v="2"/>
    <d v="2020-01-15T00:00:00"/>
    <s v="A"/>
    <s v="email@example.com"/>
    <s v="555-555-5555"/>
    <x v="1"/>
    <x v="1"/>
    <x v="1"/>
    <x v="1"/>
    <x v="1"/>
  </r>
  <r>
    <x v="0"/>
    <x v="0"/>
    <x v="1"/>
    <x v="0"/>
    <x v="0"/>
    <x v="0"/>
    <d v="2020-01-15T00:00:00"/>
    <s v="C"/>
    <s v="Not Available"/>
    <s v="123-456-7890"/>
    <x v="1"/>
    <x v="1"/>
    <x v="2"/>
    <x v="1"/>
    <x v="0"/>
  </r>
  <r>
    <x v="2"/>
    <x v="2"/>
    <x v="1"/>
    <x v="2"/>
    <x v="0"/>
    <x v="1"/>
    <d v="2020-01-15T00:00:00"/>
    <s v="B"/>
    <s v="user@domain.com"/>
    <s v="098-765-4321"/>
    <x v="1"/>
    <x v="1"/>
    <x v="2"/>
    <x v="1"/>
    <x v="0"/>
  </r>
  <r>
    <x v="8"/>
    <x v="4"/>
    <x v="4"/>
    <x v="2"/>
    <x v="1"/>
    <x v="2"/>
    <d v="2020-01-15T00:00:00"/>
    <s v="C"/>
    <s v="name@company.org"/>
    <s v="123-456-7890"/>
    <x v="1"/>
    <x v="1"/>
    <x v="2"/>
    <x v="1"/>
    <x v="0"/>
  </r>
  <r>
    <x v="0"/>
    <x v="1"/>
    <x v="2"/>
    <x v="0"/>
    <x v="1"/>
    <x v="3"/>
    <d v="2020-01-15T00:00:00"/>
    <s v="A"/>
    <s v="Not Available"/>
    <s v="555-555-5555"/>
    <x v="1"/>
    <x v="2"/>
    <x v="1"/>
    <x v="1"/>
    <x v="1"/>
  </r>
  <r>
    <x v="9"/>
    <x v="3"/>
    <x v="3"/>
    <x v="2"/>
    <x v="3"/>
    <x v="3"/>
    <d v="2020-01-15T00:00:00"/>
    <s v="F"/>
    <s v="email@example.com"/>
    <s v="Not Available"/>
    <x v="1"/>
    <x v="0"/>
    <x v="0"/>
    <x v="0"/>
    <x v="0"/>
  </r>
  <r>
    <x v="5"/>
    <x v="1"/>
    <x v="4"/>
    <x v="2"/>
    <x v="0"/>
    <x v="0"/>
    <d v="2020-01-15T00:00:00"/>
    <s v="F"/>
    <s v="name@company.org"/>
    <s v="123-456-7890"/>
    <x v="1"/>
    <x v="1"/>
    <x v="0"/>
    <x v="0"/>
    <x v="0"/>
  </r>
  <r>
    <x v="9"/>
    <x v="0"/>
    <x v="2"/>
    <x v="0"/>
    <x v="2"/>
    <x v="4"/>
    <d v="2020-01-15T00:00:00"/>
    <s v="F"/>
    <s v="user@domain.com"/>
    <s v="Not Available"/>
    <x v="1"/>
    <x v="2"/>
    <x v="0"/>
    <x v="0"/>
    <x v="0"/>
  </r>
  <r>
    <x v="2"/>
    <x v="3"/>
    <x v="4"/>
    <x v="0"/>
    <x v="1"/>
    <x v="2"/>
    <d v="2020-01-15T00:00:00"/>
    <s v="A"/>
    <s v="email@example.com"/>
    <s v="555-555-5555"/>
    <x v="1"/>
    <x v="1"/>
    <x v="1"/>
    <x v="1"/>
    <x v="1"/>
  </r>
  <r>
    <x v="8"/>
    <x v="2"/>
    <x v="5"/>
    <x v="0"/>
    <x v="0"/>
    <x v="4"/>
    <d v="2020-01-15T00:00:00"/>
    <s v="B"/>
    <s v="user@domain.com"/>
    <s v="098-765-4321"/>
    <x v="1"/>
    <x v="2"/>
    <x v="2"/>
    <x v="1"/>
    <x v="0"/>
  </r>
  <r>
    <x v="6"/>
    <x v="3"/>
    <x v="0"/>
    <x v="0"/>
    <x v="3"/>
    <x v="2"/>
    <d v="2020-01-15T00:00:00"/>
    <s v="B"/>
    <s v="email@example.com"/>
    <s v="098-765-4321"/>
    <x v="1"/>
    <x v="0"/>
    <x v="2"/>
    <x v="1"/>
    <x v="0"/>
  </r>
  <r>
    <x v="5"/>
    <x v="2"/>
    <x v="5"/>
    <x v="2"/>
    <x v="2"/>
    <x v="0"/>
    <d v="2020-01-15T00:00:00"/>
    <s v="B"/>
    <s v="name@company.org"/>
    <s v="Not Available"/>
    <x v="1"/>
    <x v="2"/>
    <x v="2"/>
    <x v="1"/>
    <x v="0"/>
  </r>
  <r>
    <x v="5"/>
    <x v="1"/>
    <x v="3"/>
    <x v="0"/>
    <x v="4"/>
    <x v="4"/>
    <d v="2020-01-15T00:00:00"/>
    <s v="F"/>
    <s v="Not Available"/>
    <s v="Not Available"/>
    <x v="1"/>
    <x v="0"/>
    <x v="0"/>
    <x v="0"/>
    <x v="0"/>
  </r>
  <r>
    <x v="0"/>
    <x v="3"/>
    <x v="3"/>
    <x v="1"/>
    <x v="1"/>
    <x v="1"/>
    <d v="2020-01-15T00:00:00"/>
    <s v="F"/>
    <s v="user@domain.com"/>
    <s v="Not Available"/>
    <x v="1"/>
    <x v="0"/>
    <x v="0"/>
    <x v="0"/>
    <x v="0"/>
  </r>
  <r>
    <x v="7"/>
    <x v="4"/>
    <x v="4"/>
    <x v="1"/>
    <x v="4"/>
    <x v="1"/>
    <d v="2020-01-15T00:00:00"/>
    <s v="D"/>
    <s v="email@example.com"/>
    <s v="098-765-4321"/>
    <x v="1"/>
    <x v="1"/>
    <x v="0"/>
    <x v="0"/>
    <x v="0"/>
  </r>
  <r>
    <x v="9"/>
    <x v="4"/>
    <x v="1"/>
    <x v="2"/>
    <x v="3"/>
    <x v="1"/>
    <d v="2020-01-15T00:00:00"/>
    <s v="F"/>
    <s v="name@company.org"/>
    <s v="555-555-5555"/>
    <x v="1"/>
    <x v="1"/>
    <x v="0"/>
    <x v="0"/>
    <x v="0"/>
  </r>
  <r>
    <x v="2"/>
    <x v="0"/>
    <x v="2"/>
    <x v="1"/>
    <x v="1"/>
    <x v="3"/>
    <d v="2020-01-15T00:00:00"/>
    <s v="B"/>
    <s v="Not Available"/>
    <s v="555-555-5555"/>
    <x v="1"/>
    <x v="2"/>
    <x v="2"/>
    <x v="1"/>
    <x v="0"/>
  </r>
  <r>
    <x v="4"/>
    <x v="0"/>
    <x v="2"/>
    <x v="2"/>
    <x v="2"/>
    <x v="4"/>
    <d v="2020-01-15T00:00:00"/>
    <s v="C"/>
    <s v="email@example.com"/>
    <s v="123-456-7890"/>
    <x v="1"/>
    <x v="2"/>
    <x v="2"/>
    <x v="1"/>
    <x v="0"/>
  </r>
  <r>
    <x v="1"/>
    <x v="4"/>
    <x v="5"/>
    <x v="0"/>
    <x v="2"/>
    <x v="4"/>
    <d v="2020-01-15T00:00:00"/>
    <s v="C"/>
    <s v="Not Available"/>
    <s v="555-555-5555"/>
    <x v="1"/>
    <x v="2"/>
    <x v="2"/>
    <x v="1"/>
    <x v="0"/>
  </r>
  <r>
    <x v="9"/>
    <x v="0"/>
    <x v="2"/>
    <x v="2"/>
    <x v="4"/>
    <x v="1"/>
    <d v="2020-01-15T00:00:00"/>
    <s v="B"/>
    <s v="email@example.com"/>
    <s v="098-765-4321"/>
    <x v="1"/>
    <x v="2"/>
    <x v="2"/>
    <x v="1"/>
    <x v="0"/>
  </r>
  <r>
    <x v="6"/>
    <x v="1"/>
    <x v="2"/>
    <x v="0"/>
    <x v="3"/>
    <x v="2"/>
    <d v="2020-01-15T00:00:00"/>
    <s v="C"/>
    <s v="Not Available"/>
    <s v="123-456-7890"/>
    <x v="1"/>
    <x v="2"/>
    <x v="2"/>
    <x v="1"/>
    <x v="0"/>
  </r>
  <r>
    <x v="2"/>
    <x v="0"/>
    <x v="0"/>
    <x v="0"/>
    <x v="1"/>
    <x v="1"/>
    <d v="2020-01-15T00:00:00"/>
    <s v="D"/>
    <s v="name@company.org"/>
    <s v="123-456-7890"/>
    <x v="1"/>
    <x v="0"/>
    <x v="0"/>
    <x v="0"/>
    <x v="0"/>
  </r>
  <r>
    <x v="1"/>
    <x v="3"/>
    <x v="4"/>
    <x v="0"/>
    <x v="3"/>
    <x v="2"/>
    <d v="2020-01-15T00:00:00"/>
    <s v="F"/>
    <s v="user@domain.com"/>
    <s v="555-555-5555"/>
    <x v="1"/>
    <x v="1"/>
    <x v="0"/>
    <x v="0"/>
    <x v="0"/>
  </r>
  <r>
    <x v="7"/>
    <x v="1"/>
    <x v="3"/>
    <x v="2"/>
    <x v="2"/>
    <x v="1"/>
    <d v="2020-01-15T00:00:00"/>
    <s v="D"/>
    <s v="user@domain.com"/>
    <s v="Not Available"/>
    <x v="1"/>
    <x v="0"/>
    <x v="0"/>
    <x v="0"/>
    <x v="0"/>
  </r>
  <r>
    <x v="3"/>
    <x v="0"/>
    <x v="0"/>
    <x v="1"/>
    <x v="4"/>
    <x v="0"/>
    <d v="2019-03-25T00:00:00"/>
    <s v="F"/>
    <s v="user@domain.com"/>
    <s v="Not Available"/>
    <x v="2"/>
    <x v="0"/>
    <x v="0"/>
    <x v="0"/>
    <x v="0"/>
  </r>
  <r>
    <x v="4"/>
    <x v="4"/>
    <x v="5"/>
    <x v="1"/>
    <x v="1"/>
    <x v="0"/>
    <d v="2019-03-25T00:00:00"/>
    <s v="C"/>
    <s v="Not Available"/>
    <s v="Not Available"/>
    <x v="2"/>
    <x v="2"/>
    <x v="2"/>
    <x v="1"/>
    <x v="0"/>
  </r>
  <r>
    <x v="7"/>
    <x v="0"/>
    <x v="3"/>
    <x v="1"/>
    <x v="0"/>
    <x v="1"/>
    <d v="2019-03-25T00:00:00"/>
    <s v="A"/>
    <s v="Not Available"/>
    <s v="Not Available"/>
    <x v="2"/>
    <x v="0"/>
    <x v="1"/>
    <x v="1"/>
    <x v="1"/>
  </r>
  <r>
    <x v="8"/>
    <x v="3"/>
    <x v="1"/>
    <x v="2"/>
    <x v="4"/>
    <x v="0"/>
    <d v="2019-03-25T00:00:00"/>
    <s v="A"/>
    <s v="Not Available"/>
    <s v="123-456-7890"/>
    <x v="2"/>
    <x v="1"/>
    <x v="1"/>
    <x v="1"/>
    <x v="1"/>
  </r>
  <r>
    <x v="8"/>
    <x v="2"/>
    <x v="1"/>
    <x v="0"/>
    <x v="2"/>
    <x v="4"/>
    <d v="2019-03-25T00:00:00"/>
    <s v="B"/>
    <s v="email@example.com"/>
    <s v="555-555-5555"/>
    <x v="2"/>
    <x v="1"/>
    <x v="2"/>
    <x v="1"/>
    <x v="0"/>
  </r>
  <r>
    <x v="6"/>
    <x v="3"/>
    <x v="5"/>
    <x v="0"/>
    <x v="0"/>
    <x v="1"/>
    <d v="2019-03-25T00:00:00"/>
    <s v="D"/>
    <s v="user@domain.com"/>
    <s v="Not Available"/>
    <x v="2"/>
    <x v="2"/>
    <x v="0"/>
    <x v="0"/>
    <x v="0"/>
  </r>
  <r>
    <x v="2"/>
    <x v="0"/>
    <x v="5"/>
    <x v="1"/>
    <x v="3"/>
    <x v="4"/>
    <d v="2019-03-25T00:00:00"/>
    <s v="C"/>
    <s v="name@company.org"/>
    <s v="Not Available"/>
    <x v="2"/>
    <x v="2"/>
    <x v="2"/>
    <x v="1"/>
    <x v="0"/>
  </r>
  <r>
    <x v="3"/>
    <x v="0"/>
    <x v="4"/>
    <x v="1"/>
    <x v="3"/>
    <x v="3"/>
    <d v="2019-03-25T00:00:00"/>
    <s v="D"/>
    <s v="Not Available"/>
    <s v="123-456-7890"/>
    <x v="2"/>
    <x v="1"/>
    <x v="0"/>
    <x v="0"/>
    <x v="0"/>
  </r>
  <r>
    <x v="1"/>
    <x v="2"/>
    <x v="5"/>
    <x v="0"/>
    <x v="4"/>
    <x v="2"/>
    <d v="2019-03-25T00:00:00"/>
    <s v="B"/>
    <s v="Not Available"/>
    <s v="Not Available"/>
    <x v="2"/>
    <x v="2"/>
    <x v="2"/>
    <x v="1"/>
    <x v="0"/>
  </r>
  <r>
    <x v="6"/>
    <x v="1"/>
    <x v="1"/>
    <x v="1"/>
    <x v="1"/>
    <x v="1"/>
    <d v="2019-03-25T00:00:00"/>
    <s v="A"/>
    <s v="email@example.com"/>
    <s v="098-765-4321"/>
    <x v="2"/>
    <x v="1"/>
    <x v="1"/>
    <x v="1"/>
    <x v="1"/>
  </r>
  <r>
    <x v="6"/>
    <x v="0"/>
    <x v="3"/>
    <x v="0"/>
    <x v="2"/>
    <x v="0"/>
    <d v="2019-03-25T00:00:00"/>
    <s v="A"/>
    <s v="Not Available"/>
    <s v="098-765-4321"/>
    <x v="2"/>
    <x v="0"/>
    <x v="1"/>
    <x v="1"/>
    <x v="1"/>
  </r>
  <r>
    <x v="7"/>
    <x v="2"/>
    <x v="4"/>
    <x v="2"/>
    <x v="0"/>
    <x v="2"/>
    <d v="2019-03-25T00:00:00"/>
    <s v="B"/>
    <s v="Not Available"/>
    <s v="Not Available"/>
    <x v="2"/>
    <x v="1"/>
    <x v="2"/>
    <x v="1"/>
    <x v="0"/>
  </r>
  <r>
    <x v="0"/>
    <x v="0"/>
    <x v="0"/>
    <x v="0"/>
    <x v="3"/>
    <x v="3"/>
    <d v="2019-03-25T00:00:00"/>
    <s v="A"/>
    <s v="user@domain.com"/>
    <s v="123-456-7890"/>
    <x v="2"/>
    <x v="0"/>
    <x v="1"/>
    <x v="1"/>
    <x v="1"/>
  </r>
  <r>
    <x v="8"/>
    <x v="2"/>
    <x v="4"/>
    <x v="2"/>
    <x v="0"/>
    <x v="4"/>
    <d v="2019-03-25T00:00:00"/>
    <s v="D"/>
    <s v="Not Available"/>
    <s v="098-765-4321"/>
    <x v="2"/>
    <x v="1"/>
    <x v="0"/>
    <x v="0"/>
    <x v="0"/>
  </r>
  <r>
    <x v="3"/>
    <x v="3"/>
    <x v="1"/>
    <x v="1"/>
    <x v="3"/>
    <x v="0"/>
    <d v="2019-03-25T00:00:00"/>
    <s v="B"/>
    <s v="name@company.org"/>
    <s v="098-765-4321"/>
    <x v="2"/>
    <x v="1"/>
    <x v="2"/>
    <x v="1"/>
    <x v="0"/>
  </r>
  <r>
    <x v="3"/>
    <x v="2"/>
    <x v="4"/>
    <x v="0"/>
    <x v="4"/>
    <x v="1"/>
    <d v="2019-03-25T00:00:00"/>
    <s v="D"/>
    <s v="Not Available"/>
    <s v="555-555-5555"/>
    <x v="2"/>
    <x v="1"/>
    <x v="0"/>
    <x v="0"/>
    <x v="0"/>
  </r>
  <r>
    <x v="1"/>
    <x v="0"/>
    <x v="1"/>
    <x v="2"/>
    <x v="0"/>
    <x v="0"/>
    <d v="2019-03-25T00:00:00"/>
    <s v="F"/>
    <s v="email@example.com"/>
    <s v="Not Available"/>
    <x v="2"/>
    <x v="1"/>
    <x v="0"/>
    <x v="0"/>
    <x v="0"/>
  </r>
  <r>
    <x v="1"/>
    <x v="4"/>
    <x v="4"/>
    <x v="0"/>
    <x v="0"/>
    <x v="0"/>
    <d v="2019-03-25T00:00:00"/>
    <s v="C"/>
    <s v="Not Available"/>
    <s v="123-456-7890"/>
    <x v="2"/>
    <x v="1"/>
    <x v="2"/>
    <x v="1"/>
    <x v="0"/>
  </r>
  <r>
    <x v="5"/>
    <x v="2"/>
    <x v="1"/>
    <x v="2"/>
    <x v="1"/>
    <x v="0"/>
    <d v="2019-03-25T00:00:00"/>
    <s v="D"/>
    <s v="name@company.org"/>
    <s v="098-765-4321"/>
    <x v="2"/>
    <x v="1"/>
    <x v="0"/>
    <x v="0"/>
    <x v="0"/>
  </r>
  <r>
    <x v="9"/>
    <x v="3"/>
    <x v="0"/>
    <x v="1"/>
    <x v="1"/>
    <x v="1"/>
    <d v="2019-03-25T00:00:00"/>
    <s v="C"/>
    <s v="email@example.com"/>
    <s v="555-555-5555"/>
    <x v="2"/>
    <x v="0"/>
    <x v="2"/>
    <x v="1"/>
    <x v="0"/>
  </r>
  <r>
    <x v="7"/>
    <x v="0"/>
    <x v="0"/>
    <x v="1"/>
    <x v="2"/>
    <x v="2"/>
    <d v="2019-03-25T00:00:00"/>
    <s v="B"/>
    <s v="name@company.org"/>
    <s v="Not Available"/>
    <x v="2"/>
    <x v="0"/>
    <x v="2"/>
    <x v="1"/>
    <x v="0"/>
  </r>
  <r>
    <x v="2"/>
    <x v="0"/>
    <x v="4"/>
    <x v="1"/>
    <x v="3"/>
    <x v="2"/>
    <d v="2019-03-25T00:00:00"/>
    <s v="B"/>
    <s v="email@example.com"/>
    <s v="555-555-5555"/>
    <x v="2"/>
    <x v="1"/>
    <x v="2"/>
    <x v="1"/>
    <x v="0"/>
  </r>
  <r>
    <x v="9"/>
    <x v="3"/>
    <x v="1"/>
    <x v="0"/>
    <x v="3"/>
    <x v="2"/>
    <d v="2019-03-25T00:00:00"/>
    <s v="B"/>
    <s v="Not Available"/>
    <s v="Not Available"/>
    <x v="2"/>
    <x v="1"/>
    <x v="2"/>
    <x v="1"/>
    <x v="0"/>
  </r>
  <r>
    <x v="5"/>
    <x v="4"/>
    <x v="3"/>
    <x v="1"/>
    <x v="4"/>
    <x v="3"/>
    <d v="2019-03-25T00:00:00"/>
    <s v="B"/>
    <s v="user@domain.com"/>
    <s v="123-456-7890"/>
    <x v="2"/>
    <x v="0"/>
    <x v="2"/>
    <x v="1"/>
    <x v="0"/>
  </r>
  <r>
    <x v="6"/>
    <x v="2"/>
    <x v="0"/>
    <x v="2"/>
    <x v="2"/>
    <x v="0"/>
    <d v="2019-03-25T00:00:00"/>
    <s v="D"/>
    <s v="email@example.com"/>
    <s v="123-456-7890"/>
    <x v="2"/>
    <x v="0"/>
    <x v="0"/>
    <x v="0"/>
    <x v="0"/>
  </r>
  <r>
    <x v="9"/>
    <x v="3"/>
    <x v="5"/>
    <x v="2"/>
    <x v="2"/>
    <x v="2"/>
    <d v="2019-03-25T00:00:00"/>
    <s v="C"/>
    <s v="Not Available"/>
    <s v="Not Available"/>
    <x v="2"/>
    <x v="2"/>
    <x v="2"/>
    <x v="1"/>
    <x v="0"/>
  </r>
  <r>
    <x v="1"/>
    <x v="3"/>
    <x v="0"/>
    <x v="1"/>
    <x v="2"/>
    <x v="2"/>
    <d v="2019-03-25T00:00:00"/>
    <s v="A"/>
    <s v="name@company.org"/>
    <s v="098-765-4321"/>
    <x v="2"/>
    <x v="0"/>
    <x v="1"/>
    <x v="1"/>
    <x v="1"/>
  </r>
  <r>
    <x v="2"/>
    <x v="0"/>
    <x v="3"/>
    <x v="2"/>
    <x v="0"/>
    <x v="4"/>
    <d v="2019-03-25T00:00:00"/>
    <s v="F"/>
    <s v="Not Available"/>
    <s v="123-456-7890"/>
    <x v="2"/>
    <x v="0"/>
    <x v="0"/>
    <x v="0"/>
    <x v="0"/>
  </r>
  <r>
    <x v="4"/>
    <x v="0"/>
    <x v="0"/>
    <x v="1"/>
    <x v="3"/>
    <x v="4"/>
    <d v="2019-03-25T00:00:00"/>
    <s v="D"/>
    <s v="Not Available"/>
    <s v="Not Available"/>
    <x v="2"/>
    <x v="0"/>
    <x v="0"/>
    <x v="0"/>
    <x v="0"/>
  </r>
  <r>
    <x v="2"/>
    <x v="2"/>
    <x v="4"/>
    <x v="2"/>
    <x v="3"/>
    <x v="4"/>
    <d v="2019-03-25T00:00:00"/>
    <s v="B"/>
    <s v="Not Available"/>
    <s v="098-765-4321"/>
    <x v="2"/>
    <x v="1"/>
    <x v="2"/>
    <x v="1"/>
    <x v="0"/>
  </r>
  <r>
    <x v="6"/>
    <x v="0"/>
    <x v="2"/>
    <x v="0"/>
    <x v="2"/>
    <x v="4"/>
    <d v="2019-03-25T00:00:00"/>
    <s v="F"/>
    <s v="user@domain.com"/>
    <s v="Not Available"/>
    <x v="2"/>
    <x v="2"/>
    <x v="0"/>
    <x v="0"/>
    <x v="0"/>
  </r>
  <r>
    <x v="5"/>
    <x v="2"/>
    <x v="5"/>
    <x v="1"/>
    <x v="2"/>
    <x v="3"/>
    <d v="2019-03-25T00:00:00"/>
    <s v="D"/>
    <s v="Not Available"/>
    <s v="555-555-5555"/>
    <x v="2"/>
    <x v="2"/>
    <x v="0"/>
    <x v="0"/>
    <x v="0"/>
  </r>
  <r>
    <x v="8"/>
    <x v="1"/>
    <x v="3"/>
    <x v="2"/>
    <x v="3"/>
    <x v="4"/>
    <d v="2019-03-25T00:00:00"/>
    <s v="A"/>
    <s v="Not Available"/>
    <s v="098-765-4321"/>
    <x v="2"/>
    <x v="0"/>
    <x v="1"/>
    <x v="1"/>
    <x v="1"/>
  </r>
  <r>
    <x v="9"/>
    <x v="0"/>
    <x v="1"/>
    <x v="1"/>
    <x v="0"/>
    <x v="1"/>
    <d v="2019-03-25T00:00:00"/>
    <s v="F"/>
    <s v="Not Available"/>
    <s v="098-765-4321"/>
    <x v="2"/>
    <x v="1"/>
    <x v="0"/>
    <x v="0"/>
    <x v="0"/>
  </r>
  <r>
    <x v="4"/>
    <x v="2"/>
    <x v="1"/>
    <x v="1"/>
    <x v="0"/>
    <x v="1"/>
    <d v="2019-03-25T00:00:00"/>
    <s v="F"/>
    <s v="name@company.org"/>
    <s v="555-555-5555"/>
    <x v="2"/>
    <x v="1"/>
    <x v="0"/>
    <x v="0"/>
    <x v="0"/>
  </r>
  <r>
    <x v="9"/>
    <x v="0"/>
    <x v="5"/>
    <x v="0"/>
    <x v="2"/>
    <x v="4"/>
    <d v="2019-03-25T00:00:00"/>
    <s v="F"/>
    <s v="user@domain.com"/>
    <s v="555-555-5555"/>
    <x v="2"/>
    <x v="2"/>
    <x v="0"/>
    <x v="0"/>
    <x v="0"/>
  </r>
  <r>
    <x v="2"/>
    <x v="4"/>
    <x v="2"/>
    <x v="0"/>
    <x v="4"/>
    <x v="4"/>
    <d v="2019-03-25T00:00:00"/>
    <s v="F"/>
    <s v="Not Available"/>
    <s v="123-456-7890"/>
    <x v="2"/>
    <x v="2"/>
    <x v="0"/>
    <x v="0"/>
    <x v="0"/>
  </r>
  <r>
    <x v="7"/>
    <x v="1"/>
    <x v="2"/>
    <x v="2"/>
    <x v="2"/>
    <x v="2"/>
    <d v="2019-03-25T00:00:00"/>
    <s v="D"/>
    <s v="email@example.com"/>
    <s v="Not Available"/>
    <x v="2"/>
    <x v="2"/>
    <x v="0"/>
    <x v="0"/>
    <x v="0"/>
  </r>
  <r>
    <x v="0"/>
    <x v="0"/>
    <x v="2"/>
    <x v="2"/>
    <x v="4"/>
    <x v="1"/>
    <d v="2019-03-25T00:00:00"/>
    <s v="F"/>
    <s v="user@domain.com"/>
    <s v="555-555-5555"/>
    <x v="2"/>
    <x v="2"/>
    <x v="0"/>
    <x v="0"/>
    <x v="0"/>
  </r>
  <r>
    <x v="9"/>
    <x v="1"/>
    <x v="2"/>
    <x v="0"/>
    <x v="3"/>
    <x v="3"/>
    <d v="2019-03-25T00:00:00"/>
    <s v="B"/>
    <s v="name@company.org"/>
    <s v="Not Available"/>
    <x v="2"/>
    <x v="2"/>
    <x v="2"/>
    <x v="1"/>
    <x v="0"/>
  </r>
  <r>
    <x v="7"/>
    <x v="3"/>
    <x v="0"/>
    <x v="2"/>
    <x v="0"/>
    <x v="3"/>
    <d v="2019-03-25T00:00:00"/>
    <s v="D"/>
    <s v="Not Available"/>
    <s v="123-456-7890"/>
    <x v="2"/>
    <x v="0"/>
    <x v="0"/>
    <x v="0"/>
    <x v="0"/>
  </r>
  <r>
    <x v="3"/>
    <x v="4"/>
    <x v="1"/>
    <x v="2"/>
    <x v="2"/>
    <x v="0"/>
    <d v="2019-03-25T00:00:00"/>
    <s v="A"/>
    <s v="email@example.com"/>
    <s v="Not Available"/>
    <x v="2"/>
    <x v="1"/>
    <x v="1"/>
    <x v="1"/>
    <x v="1"/>
  </r>
  <r>
    <x v="0"/>
    <x v="1"/>
    <x v="5"/>
    <x v="0"/>
    <x v="4"/>
    <x v="1"/>
    <d v="2019-03-25T00:00:00"/>
    <s v="A"/>
    <s v="Not Available"/>
    <s v="123-456-7890"/>
    <x v="2"/>
    <x v="2"/>
    <x v="1"/>
    <x v="1"/>
    <x v="1"/>
  </r>
  <r>
    <x v="4"/>
    <x v="4"/>
    <x v="4"/>
    <x v="0"/>
    <x v="4"/>
    <x v="0"/>
    <d v="2019-03-25T00:00:00"/>
    <s v="A"/>
    <s v="Not Available"/>
    <s v="555-555-5555"/>
    <x v="2"/>
    <x v="1"/>
    <x v="1"/>
    <x v="1"/>
    <x v="1"/>
  </r>
  <r>
    <x v="0"/>
    <x v="3"/>
    <x v="1"/>
    <x v="1"/>
    <x v="1"/>
    <x v="4"/>
    <d v="2019-03-25T00:00:00"/>
    <s v="C"/>
    <s v="Not Available"/>
    <s v="Not Available"/>
    <x v="2"/>
    <x v="1"/>
    <x v="2"/>
    <x v="1"/>
    <x v="0"/>
  </r>
  <r>
    <x v="8"/>
    <x v="1"/>
    <x v="4"/>
    <x v="2"/>
    <x v="3"/>
    <x v="0"/>
    <d v="2019-03-25T00:00:00"/>
    <s v="B"/>
    <s v="user@domain.com"/>
    <s v="123-456-7890"/>
    <x v="2"/>
    <x v="1"/>
    <x v="2"/>
    <x v="1"/>
    <x v="0"/>
  </r>
  <r>
    <x v="9"/>
    <x v="1"/>
    <x v="0"/>
    <x v="0"/>
    <x v="1"/>
    <x v="0"/>
    <d v="2019-03-25T00:00:00"/>
    <s v="C"/>
    <s v="Not Available"/>
    <s v="098-765-4321"/>
    <x v="2"/>
    <x v="0"/>
    <x v="2"/>
    <x v="1"/>
    <x v="0"/>
  </r>
  <r>
    <x v="0"/>
    <x v="3"/>
    <x v="2"/>
    <x v="1"/>
    <x v="2"/>
    <x v="4"/>
    <d v="2019-03-25T00:00:00"/>
    <s v="C"/>
    <s v="Not Available"/>
    <s v="Not Available"/>
    <x v="2"/>
    <x v="2"/>
    <x v="2"/>
    <x v="1"/>
    <x v="0"/>
  </r>
  <r>
    <x v="0"/>
    <x v="0"/>
    <x v="1"/>
    <x v="2"/>
    <x v="2"/>
    <x v="1"/>
    <d v="2019-03-25T00:00:00"/>
    <s v="C"/>
    <s v="user@domain.com"/>
    <s v="Not Available"/>
    <x v="2"/>
    <x v="1"/>
    <x v="2"/>
    <x v="1"/>
    <x v="0"/>
  </r>
  <r>
    <x v="8"/>
    <x v="4"/>
    <x v="2"/>
    <x v="2"/>
    <x v="1"/>
    <x v="4"/>
    <d v="2019-03-25T00:00:00"/>
    <s v="B"/>
    <s v="Not Available"/>
    <s v="Not Available"/>
    <x v="2"/>
    <x v="2"/>
    <x v="2"/>
    <x v="1"/>
    <x v="0"/>
  </r>
  <r>
    <x v="0"/>
    <x v="0"/>
    <x v="2"/>
    <x v="2"/>
    <x v="0"/>
    <x v="1"/>
    <d v="2019-03-25T00:00:00"/>
    <s v="D"/>
    <s v="Not Available"/>
    <s v="123-456-7890"/>
    <x v="2"/>
    <x v="2"/>
    <x v="0"/>
    <x v="0"/>
    <x v="0"/>
  </r>
  <r>
    <x v="6"/>
    <x v="0"/>
    <x v="1"/>
    <x v="2"/>
    <x v="2"/>
    <x v="4"/>
    <d v="2019-03-25T00:00:00"/>
    <s v="D"/>
    <s v="user@domain.com"/>
    <s v="098-765-4321"/>
    <x v="2"/>
    <x v="1"/>
    <x v="0"/>
    <x v="0"/>
    <x v="0"/>
  </r>
  <r>
    <x v="6"/>
    <x v="2"/>
    <x v="1"/>
    <x v="2"/>
    <x v="4"/>
    <x v="0"/>
    <d v="2019-03-25T00:00:00"/>
    <s v="C"/>
    <s v="user@domain.com"/>
    <s v="098-765-4321"/>
    <x v="2"/>
    <x v="1"/>
    <x v="2"/>
    <x v="1"/>
    <x v="0"/>
  </r>
  <r>
    <x v="2"/>
    <x v="0"/>
    <x v="2"/>
    <x v="0"/>
    <x v="3"/>
    <x v="3"/>
    <d v="2019-03-25T00:00:00"/>
    <s v="F"/>
    <s v="email@example.com"/>
    <s v="123-456-7890"/>
    <x v="2"/>
    <x v="2"/>
    <x v="0"/>
    <x v="0"/>
    <x v="0"/>
  </r>
  <r>
    <x v="9"/>
    <x v="3"/>
    <x v="3"/>
    <x v="2"/>
    <x v="1"/>
    <x v="0"/>
    <d v="2019-03-25T00:00:00"/>
    <s v="A"/>
    <s v="Not Available"/>
    <s v="555-555-5555"/>
    <x v="2"/>
    <x v="0"/>
    <x v="1"/>
    <x v="1"/>
    <x v="1"/>
  </r>
  <r>
    <x v="0"/>
    <x v="1"/>
    <x v="1"/>
    <x v="0"/>
    <x v="1"/>
    <x v="1"/>
    <d v="2019-03-25T00:00:00"/>
    <s v="F"/>
    <s v="Not Available"/>
    <s v="555-555-5555"/>
    <x v="2"/>
    <x v="1"/>
    <x v="0"/>
    <x v="0"/>
    <x v="0"/>
  </r>
  <r>
    <x v="9"/>
    <x v="0"/>
    <x v="0"/>
    <x v="0"/>
    <x v="0"/>
    <x v="2"/>
    <d v="2019-03-25T00:00:00"/>
    <s v="D"/>
    <s v="name@company.org"/>
    <s v="Not Available"/>
    <x v="2"/>
    <x v="0"/>
    <x v="0"/>
    <x v="0"/>
    <x v="0"/>
  </r>
  <r>
    <x v="8"/>
    <x v="1"/>
    <x v="0"/>
    <x v="2"/>
    <x v="2"/>
    <x v="3"/>
    <d v="2019-03-25T00:00:00"/>
    <s v="C"/>
    <s v="user@domain.com"/>
    <s v="555-555-5555"/>
    <x v="2"/>
    <x v="0"/>
    <x v="2"/>
    <x v="1"/>
    <x v="0"/>
  </r>
  <r>
    <x v="6"/>
    <x v="4"/>
    <x v="5"/>
    <x v="2"/>
    <x v="1"/>
    <x v="2"/>
    <d v="2019-03-25T00:00:00"/>
    <s v="C"/>
    <s v="Not Available"/>
    <s v="123-456-7890"/>
    <x v="2"/>
    <x v="2"/>
    <x v="2"/>
    <x v="1"/>
    <x v="0"/>
  </r>
  <r>
    <x v="9"/>
    <x v="2"/>
    <x v="3"/>
    <x v="1"/>
    <x v="2"/>
    <x v="4"/>
    <d v="2019-03-25T00:00:00"/>
    <s v="F"/>
    <s v="Not Available"/>
    <s v="555-555-5555"/>
    <x v="2"/>
    <x v="0"/>
    <x v="0"/>
    <x v="0"/>
    <x v="0"/>
  </r>
  <r>
    <x v="1"/>
    <x v="2"/>
    <x v="0"/>
    <x v="1"/>
    <x v="0"/>
    <x v="0"/>
    <d v="2019-03-25T00:00:00"/>
    <s v="B"/>
    <s v="Not Available"/>
    <s v="555-555-5555"/>
    <x v="2"/>
    <x v="0"/>
    <x v="2"/>
    <x v="1"/>
    <x v="0"/>
  </r>
  <r>
    <x v="0"/>
    <x v="4"/>
    <x v="1"/>
    <x v="1"/>
    <x v="2"/>
    <x v="4"/>
    <d v="2019-03-25T00:00:00"/>
    <s v="B"/>
    <s v="email@example.com"/>
    <s v="123-456-7890"/>
    <x v="2"/>
    <x v="1"/>
    <x v="2"/>
    <x v="1"/>
    <x v="0"/>
  </r>
  <r>
    <x v="9"/>
    <x v="2"/>
    <x v="3"/>
    <x v="0"/>
    <x v="1"/>
    <x v="0"/>
    <d v="2019-03-25T00:00:00"/>
    <s v="F"/>
    <s v="email@example.com"/>
    <s v="098-765-4321"/>
    <x v="2"/>
    <x v="0"/>
    <x v="0"/>
    <x v="0"/>
    <x v="0"/>
  </r>
  <r>
    <x v="1"/>
    <x v="0"/>
    <x v="0"/>
    <x v="1"/>
    <x v="1"/>
    <x v="4"/>
    <d v="2019-03-25T00:00:00"/>
    <s v="B"/>
    <s v="Not Available"/>
    <s v="555-555-5555"/>
    <x v="2"/>
    <x v="0"/>
    <x v="2"/>
    <x v="1"/>
    <x v="0"/>
  </r>
  <r>
    <x v="2"/>
    <x v="1"/>
    <x v="0"/>
    <x v="2"/>
    <x v="3"/>
    <x v="0"/>
    <d v="2019-03-25T00:00:00"/>
    <s v="C"/>
    <s v="Not Available"/>
    <s v="Not Available"/>
    <x v="2"/>
    <x v="0"/>
    <x v="2"/>
    <x v="1"/>
    <x v="0"/>
  </r>
  <r>
    <x v="2"/>
    <x v="3"/>
    <x v="2"/>
    <x v="2"/>
    <x v="1"/>
    <x v="0"/>
    <d v="2019-03-25T00:00:00"/>
    <s v="F"/>
    <s v="user@domain.com"/>
    <s v="Not Available"/>
    <x v="2"/>
    <x v="2"/>
    <x v="0"/>
    <x v="0"/>
    <x v="0"/>
  </r>
  <r>
    <x v="9"/>
    <x v="1"/>
    <x v="3"/>
    <x v="2"/>
    <x v="3"/>
    <x v="3"/>
    <d v="2019-03-25T00:00:00"/>
    <s v="A"/>
    <s v="Not Available"/>
    <s v="555-555-5555"/>
    <x v="2"/>
    <x v="0"/>
    <x v="1"/>
    <x v="1"/>
    <x v="1"/>
  </r>
  <r>
    <x v="0"/>
    <x v="0"/>
    <x v="2"/>
    <x v="2"/>
    <x v="1"/>
    <x v="1"/>
    <d v="2019-03-25T00:00:00"/>
    <s v="F"/>
    <s v="email@example.com"/>
    <s v="123-456-7890"/>
    <x v="2"/>
    <x v="2"/>
    <x v="0"/>
    <x v="0"/>
    <x v="0"/>
  </r>
  <r>
    <x v="4"/>
    <x v="4"/>
    <x v="3"/>
    <x v="2"/>
    <x v="3"/>
    <x v="3"/>
    <d v="2019-03-25T00:00:00"/>
    <s v="D"/>
    <s v="Not Available"/>
    <s v="Not Available"/>
    <x v="2"/>
    <x v="0"/>
    <x v="0"/>
    <x v="0"/>
    <x v="0"/>
  </r>
  <r>
    <x v="2"/>
    <x v="0"/>
    <x v="4"/>
    <x v="0"/>
    <x v="1"/>
    <x v="1"/>
    <d v="2019-03-25T00:00:00"/>
    <s v="A"/>
    <s v="Not Available"/>
    <s v="123-456-7890"/>
    <x v="2"/>
    <x v="1"/>
    <x v="1"/>
    <x v="1"/>
    <x v="1"/>
  </r>
  <r>
    <x v="3"/>
    <x v="4"/>
    <x v="5"/>
    <x v="2"/>
    <x v="0"/>
    <x v="0"/>
    <d v="2019-03-25T00:00:00"/>
    <s v="F"/>
    <s v="Not Available"/>
    <s v="555-555-5555"/>
    <x v="2"/>
    <x v="2"/>
    <x v="0"/>
    <x v="0"/>
    <x v="0"/>
  </r>
  <r>
    <x v="8"/>
    <x v="2"/>
    <x v="4"/>
    <x v="2"/>
    <x v="3"/>
    <x v="1"/>
    <d v="2019-03-25T00:00:00"/>
    <s v="B"/>
    <s v="name@company.org"/>
    <s v="Not Available"/>
    <x v="2"/>
    <x v="1"/>
    <x v="2"/>
    <x v="1"/>
    <x v="0"/>
  </r>
  <r>
    <x v="6"/>
    <x v="2"/>
    <x v="4"/>
    <x v="2"/>
    <x v="3"/>
    <x v="1"/>
    <d v="2019-03-25T00:00:00"/>
    <s v="C"/>
    <s v="user@domain.com"/>
    <s v="123-456-7890"/>
    <x v="2"/>
    <x v="1"/>
    <x v="2"/>
    <x v="1"/>
    <x v="0"/>
  </r>
  <r>
    <x v="6"/>
    <x v="3"/>
    <x v="4"/>
    <x v="0"/>
    <x v="3"/>
    <x v="4"/>
    <d v="2019-03-25T00:00:00"/>
    <s v="D"/>
    <s v="name@company.org"/>
    <s v="123-456-7890"/>
    <x v="2"/>
    <x v="1"/>
    <x v="0"/>
    <x v="0"/>
    <x v="0"/>
  </r>
  <r>
    <x v="9"/>
    <x v="2"/>
    <x v="0"/>
    <x v="0"/>
    <x v="2"/>
    <x v="1"/>
    <d v="2019-03-25T00:00:00"/>
    <s v="F"/>
    <s v="email@example.com"/>
    <s v="123-456-7890"/>
    <x v="2"/>
    <x v="0"/>
    <x v="0"/>
    <x v="0"/>
    <x v="0"/>
  </r>
  <r>
    <x v="9"/>
    <x v="2"/>
    <x v="0"/>
    <x v="2"/>
    <x v="1"/>
    <x v="0"/>
    <d v="2019-03-25T00:00:00"/>
    <s v="D"/>
    <s v="user@domain.com"/>
    <s v="Not Available"/>
    <x v="2"/>
    <x v="0"/>
    <x v="0"/>
    <x v="0"/>
    <x v="0"/>
  </r>
  <r>
    <x v="7"/>
    <x v="4"/>
    <x v="2"/>
    <x v="1"/>
    <x v="3"/>
    <x v="1"/>
    <d v="2019-03-25T00:00:00"/>
    <s v="A"/>
    <s v="name@company.org"/>
    <s v="555-555-5555"/>
    <x v="2"/>
    <x v="2"/>
    <x v="1"/>
    <x v="1"/>
    <x v="1"/>
  </r>
  <r>
    <x v="5"/>
    <x v="3"/>
    <x v="1"/>
    <x v="0"/>
    <x v="4"/>
    <x v="1"/>
    <d v="2019-03-25T00:00:00"/>
    <s v="A"/>
    <s v="name@company.org"/>
    <s v="123-456-7890"/>
    <x v="2"/>
    <x v="1"/>
    <x v="1"/>
    <x v="1"/>
    <x v="1"/>
  </r>
  <r>
    <x v="9"/>
    <x v="0"/>
    <x v="5"/>
    <x v="0"/>
    <x v="3"/>
    <x v="3"/>
    <d v="2019-03-25T00:00:00"/>
    <s v="A"/>
    <s v="user@domain.com"/>
    <s v="Not Available"/>
    <x v="2"/>
    <x v="2"/>
    <x v="1"/>
    <x v="1"/>
    <x v="1"/>
  </r>
  <r>
    <x v="4"/>
    <x v="4"/>
    <x v="3"/>
    <x v="2"/>
    <x v="3"/>
    <x v="3"/>
    <d v="2019-03-25T00:00:00"/>
    <s v="C"/>
    <s v="Not Available"/>
    <s v="Not Available"/>
    <x v="2"/>
    <x v="0"/>
    <x v="2"/>
    <x v="1"/>
    <x v="0"/>
  </r>
  <r>
    <x v="4"/>
    <x v="2"/>
    <x v="1"/>
    <x v="1"/>
    <x v="1"/>
    <x v="3"/>
    <d v="2019-03-25T00:00:00"/>
    <s v="F"/>
    <s v="Not Available"/>
    <s v="Not Available"/>
    <x v="2"/>
    <x v="1"/>
    <x v="0"/>
    <x v="0"/>
    <x v="0"/>
  </r>
  <r>
    <x v="1"/>
    <x v="4"/>
    <x v="0"/>
    <x v="2"/>
    <x v="2"/>
    <x v="2"/>
    <d v="2019-03-25T00:00:00"/>
    <s v="A"/>
    <s v="user@domain.com"/>
    <s v="Not Available"/>
    <x v="2"/>
    <x v="0"/>
    <x v="1"/>
    <x v="1"/>
    <x v="1"/>
  </r>
  <r>
    <x v="9"/>
    <x v="4"/>
    <x v="3"/>
    <x v="2"/>
    <x v="2"/>
    <x v="1"/>
    <d v="2019-03-25T00:00:00"/>
    <s v="C"/>
    <s v="Not Available"/>
    <s v="098-765-4321"/>
    <x v="2"/>
    <x v="0"/>
    <x v="2"/>
    <x v="1"/>
    <x v="0"/>
  </r>
  <r>
    <x v="7"/>
    <x v="2"/>
    <x v="0"/>
    <x v="0"/>
    <x v="1"/>
    <x v="3"/>
    <d v="2019-03-25T00:00:00"/>
    <s v="D"/>
    <s v="Not Available"/>
    <s v="098-765-4321"/>
    <x v="2"/>
    <x v="0"/>
    <x v="0"/>
    <x v="0"/>
    <x v="0"/>
  </r>
  <r>
    <x v="1"/>
    <x v="2"/>
    <x v="4"/>
    <x v="1"/>
    <x v="4"/>
    <x v="2"/>
    <d v="2019-03-25T00:00:00"/>
    <s v="F"/>
    <s v="Not Available"/>
    <s v="Not Available"/>
    <x v="2"/>
    <x v="1"/>
    <x v="0"/>
    <x v="0"/>
    <x v="0"/>
  </r>
  <r>
    <x v="8"/>
    <x v="0"/>
    <x v="2"/>
    <x v="2"/>
    <x v="1"/>
    <x v="3"/>
    <d v="2019-03-25T00:00:00"/>
    <s v="F"/>
    <s v="Not Available"/>
    <s v="Not Available"/>
    <x v="2"/>
    <x v="2"/>
    <x v="0"/>
    <x v="0"/>
    <x v="0"/>
  </r>
  <r>
    <x v="5"/>
    <x v="4"/>
    <x v="3"/>
    <x v="0"/>
    <x v="3"/>
    <x v="4"/>
    <d v="2019-03-25T00:00:00"/>
    <s v="C"/>
    <s v="user@domain.com"/>
    <s v="Not Available"/>
    <x v="2"/>
    <x v="0"/>
    <x v="2"/>
    <x v="1"/>
    <x v="0"/>
  </r>
  <r>
    <x v="1"/>
    <x v="0"/>
    <x v="3"/>
    <x v="1"/>
    <x v="1"/>
    <x v="1"/>
    <d v="2019-03-25T00:00:00"/>
    <s v="F"/>
    <s v="Not Available"/>
    <s v="098-765-4321"/>
    <x v="2"/>
    <x v="0"/>
    <x v="0"/>
    <x v="0"/>
    <x v="0"/>
  </r>
  <r>
    <x v="3"/>
    <x v="4"/>
    <x v="0"/>
    <x v="2"/>
    <x v="1"/>
    <x v="4"/>
    <d v="2019-03-25T00:00:00"/>
    <s v="B"/>
    <s v="email@example.com"/>
    <s v="123-456-7890"/>
    <x v="2"/>
    <x v="0"/>
    <x v="2"/>
    <x v="1"/>
    <x v="0"/>
  </r>
  <r>
    <x v="1"/>
    <x v="0"/>
    <x v="0"/>
    <x v="0"/>
    <x v="2"/>
    <x v="3"/>
    <d v="2019-03-25T00:00:00"/>
    <s v="F"/>
    <s v="email@example.com"/>
    <s v="098-765-4321"/>
    <x v="2"/>
    <x v="0"/>
    <x v="0"/>
    <x v="0"/>
    <x v="0"/>
  </r>
  <r>
    <x v="2"/>
    <x v="4"/>
    <x v="3"/>
    <x v="1"/>
    <x v="0"/>
    <x v="3"/>
    <d v="2019-03-25T00:00:00"/>
    <s v="F"/>
    <s v="Not Available"/>
    <s v="Not Available"/>
    <x v="2"/>
    <x v="0"/>
    <x v="0"/>
    <x v="0"/>
    <x v="0"/>
  </r>
  <r>
    <x v="2"/>
    <x v="3"/>
    <x v="1"/>
    <x v="0"/>
    <x v="0"/>
    <x v="2"/>
    <d v="2019-03-25T00:00:00"/>
    <s v="C"/>
    <s v="Not Available"/>
    <s v="123-456-7890"/>
    <x v="2"/>
    <x v="1"/>
    <x v="2"/>
    <x v="1"/>
    <x v="0"/>
  </r>
  <r>
    <x v="7"/>
    <x v="1"/>
    <x v="1"/>
    <x v="1"/>
    <x v="0"/>
    <x v="3"/>
    <d v="2019-03-25T00:00:00"/>
    <s v="C"/>
    <s v="name@company.org"/>
    <s v="098-765-4321"/>
    <x v="2"/>
    <x v="1"/>
    <x v="2"/>
    <x v="1"/>
    <x v="0"/>
  </r>
  <r>
    <x v="3"/>
    <x v="2"/>
    <x v="1"/>
    <x v="0"/>
    <x v="2"/>
    <x v="1"/>
    <d v="2019-03-25T00:00:00"/>
    <s v="A"/>
    <s v="user@domain.com"/>
    <s v="555-555-5555"/>
    <x v="2"/>
    <x v="1"/>
    <x v="1"/>
    <x v="1"/>
    <x v="1"/>
  </r>
  <r>
    <x v="2"/>
    <x v="2"/>
    <x v="2"/>
    <x v="0"/>
    <x v="2"/>
    <x v="0"/>
    <d v="2019-03-25T00:00:00"/>
    <s v="C"/>
    <s v="email@example.com"/>
    <s v="Not Available"/>
    <x v="2"/>
    <x v="2"/>
    <x v="2"/>
    <x v="1"/>
    <x v="0"/>
  </r>
  <r>
    <x v="9"/>
    <x v="3"/>
    <x v="3"/>
    <x v="1"/>
    <x v="3"/>
    <x v="4"/>
    <d v="2019-03-25T00:00:00"/>
    <s v="B"/>
    <s v="Not Available"/>
    <s v="098-765-4321"/>
    <x v="2"/>
    <x v="0"/>
    <x v="2"/>
    <x v="1"/>
    <x v="0"/>
  </r>
  <r>
    <x v="3"/>
    <x v="3"/>
    <x v="2"/>
    <x v="0"/>
    <x v="1"/>
    <x v="1"/>
    <d v="2019-03-25T00:00:00"/>
    <s v="C"/>
    <s v="Not Available"/>
    <s v="Not Available"/>
    <x v="2"/>
    <x v="2"/>
    <x v="2"/>
    <x v="1"/>
    <x v="0"/>
  </r>
  <r>
    <x v="3"/>
    <x v="2"/>
    <x v="3"/>
    <x v="0"/>
    <x v="0"/>
    <x v="0"/>
    <d v="2019-03-25T00:00:00"/>
    <s v="C"/>
    <s v="user@domain.com"/>
    <s v="555-555-5555"/>
    <x v="2"/>
    <x v="0"/>
    <x v="2"/>
    <x v="1"/>
    <x v="0"/>
  </r>
  <r>
    <x v="5"/>
    <x v="1"/>
    <x v="3"/>
    <x v="0"/>
    <x v="1"/>
    <x v="0"/>
    <d v="2019-03-25T00:00:00"/>
    <s v="C"/>
    <s v="user@domain.com"/>
    <s v="Not Available"/>
    <x v="2"/>
    <x v="0"/>
    <x v="2"/>
    <x v="1"/>
    <x v="0"/>
  </r>
  <r>
    <x v="1"/>
    <x v="2"/>
    <x v="0"/>
    <x v="2"/>
    <x v="1"/>
    <x v="1"/>
    <d v="2019-03-25T00:00:00"/>
    <s v="B"/>
    <s v="email@example.com"/>
    <s v="555-555-5555"/>
    <x v="2"/>
    <x v="0"/>
    <x v="2"/>
    <x v="1"/>
    <x v="0"/>
  </r>
  <r>
    <x v="5"/>
    <x v="0"/>
    <x v="3"/>
    <x v="1"/>
    <x v="2"/>
    <x v="0"/>
    <d v="2019-03-25T00:00:00"/>
    <s v="D"/>
    <s v="name@company.org"/>
    <s v="Not Available"/>
    <x v="2"/>
    <x v="0"/>
    <x v="0"/>
    <x v="0"/>
    <x v="0"/>
  </r>
  <r>
    <x v="5"/>
    <x v="4"/>
    <x v="2"/>
    <x v="2"/>
    <x v="3"/>
    <x v="1"/>
    <d v="2019-03-25T00:00:00"/>
    <s v="A"/>
    <s v="Not Available"/>
    <s v="098-765-4321"/>
    <x v="2"/>
    <x v="2"/>
    <x v="1"/>
    <x v="1"/>
    <x v="1"/>
  </r>
  <r>
    <x v="7"/>
    <x v="0"/>
    <x v="1"/>
    <x v="0"/>
    <x v="0"/>
    <x v="3"/>
    <d v="2019-03-25T00:00:00"/>
    <s v="F"/>
    <s v="name@company.org"/>
    <s v="Not Available"/>
    <x v="2"/>
    <x v="1"/>
    <x v="0"/>
    <x v="0"/>
    <x v="0"/>
  </r>
  <r>
    <x v="1"/>
    <x v="0"/>
    <x v="3"/>
    <x v="1"/>
    <x v="4"/>
    <x v="0"/>
    <d v="2019-03-25T00:00:00"/>
    <s v="A"/>
    <s v="name@company.org"/>
    <s v="Not Available"/>
    <x v="2"/>
    <x v="0"/>
    <x v="1"/>
    <x v="1"/>
    <x v="1"/>
  </r>
  <r>
    <x v="5"/>
    <x v="2"/>
    <x v="5"/>
    <x v="0"/>
    <x v="2"/>
    <x v="1"/>
    <d v="2019-03-25T00:00:00"/>
    <s v="B"/>
    <s v="email@example.com"/>
    <s v="Not Available"/>
    <x v="2"/>
    <x v="2"/>
    <x v="2"/>
    <x v="1"/>
    <x v="0"/>
  </r>
  <r>
    <x v="8"/>
    <x v="0"/>
    <x v="3"/>
    <x v="0"/>
    <x v="4"/>
    <x v="0"/>
    <d v="2019-03-25T00:00:00"/>
    <s v="F"/>
    <s v="name@company.org"/>
    <s v="123-456-7890"/>
    <x v="2"/>
    <x v="0"/>
    <x v="0"/>
    <x v="0"/>
    <x v="0"/>
  </r>
  <r>
    <x v="0"/>
    <x v="0"/>
    <x v="2"/>
    <x v="1"/>
    <x v="2"/>
    <x v="0"/>
    <d v="2019-03-25T00:00:00"/>
    <s v="F"/>
    <s v="Not Available"/>
    <s v="555-555-5555"/>
    <x v="2"/>
    <x v="2"/>
    <x v="0"/>
    <x v="0"/>
    <x v="0"/>
  </r>
  <r>
    <x v="3"/>
    <x v="4"/>
    <x v="4"/>
    <x v="2"/>
    <x v="2"/>
    <x v="2"/>
    <d v="2019-03-25T00:00:00"/>
    <s v="C"/>
    <s v="name@company.org"/>
    <s v="123-456-7890"/>
    <x v="2"/>
    <x v="1"/>
    <x v="2"/>
    <x v="1"/>
    <x v="0"/>
  </r>
  <r>
    <x v="3"/>
    <x v="0"/>
    <x v="4"/>
    <x v="2"/>
    <x v="4"/>
    <x v="0"/>
    <d v="2019-03-25T00:00:00"/>
    <s v="B"/>
    <s v="email@example.com"/>
    <s v="098-765-4321"/>
    <x v="2"/>
    <x v="1"/>
    <x v="2"/>
    <x v="1"/>
    <x v="0"/>
  </r>
  <r>
    <x v="6"/>
    <x v="0"/>
    <x v="0"/>
    <x v="1"/>
    <x v="2"/>
    <x v="3"/>
    <d v="2019-03-25T00:00:00"/>
    <s v="D"/>
    <s v="user@domain.com"/>
    <s v="555-555-5555"/>
    <x v="2"/>
    <x v="0"/>
    <x v="0"/>
    <x v="0"/>
    <x v="0"/>
  </r>
  <r>
    <x v="8"/>
    <x v="2"/>
    <x v="4"/>
    <x v="1"/>
    <x v="4"/>
    <x v="3"/>
    <d v="2019-03-25T00:00:00"/>
    <s v="F"/>
    <s v="user@domain.com"/>
    <s v="555-555-5555"/>
    <x v="2"/>
    <x v="1"/>
    <x v="0"/>
    <x v="0"/>
    <x v="0"/>
  </r>
  <r>
    <x v="1"/>
    <x v="3"/>
    <x v="3"/>
    <x v="2"/>
    <x v="1"/>
    <x v="1"/>
    <d v="2019-03-25T00:00:00"/>
    <s v="B"/>
    <s v="Not Available"/>
    <s v="123-456-7890"/>
    <x v="2"/>
    <x v="0"/>
    <x v="2"/>
    <x v="1"/>
    <x v="0"/>
  </r>
  <r>
    <x v="8"/>
    <x v="0"/>
    <x v="1"/>
    <x v="2"/>
    <x v="0"/>
    <x v="3"/>
    <d v="2019-03-25T00:00:00"/>
    <s v="F"/>
    <s v="Not Available"/>
    <s v="098-765-4321"/>
    <x v="2"/>
    <x v="1"/>
    <x v="0"/>
    <x v="0"/>
    <x v="0"/>
  </r>
  <r>
    <x v="9"/>
    <x v="0"/>
    <x v="5"/>
    <x v="1"/>
    <x v="1"/>
    <x v="4"/>
    <d v="2019-03-25T00:00:00"/>
    <s v="F"/>
    <s v="Not Available"/>
    <s v="Not Available"/>
    <x v="2"/>
    <x v="2"/>
    <x v="0"/>
    <x v="0"/>
    <x v="0"/>
  </r>
  <r>
    <x v="0"/>
    <x v="0"/>
    <x v="2"/>
    <x v="0"/>
    <x v="1"/>
    <x v="0"/>
    <d v="2019-03-25T00:00:00"/>
    <s v="B"/>
    <s v="user@domain.com"/>
    <s v="123-456-7890"/>
    <x v="2"/>
    <x v="2"/>
    <x v="2"/>
    <x v="1"/>
    <x v="0"/>
  </r>
  <r>
    <x v="7"/>
    <x v="2"/>
    <x v="3"/>
    <x v="0"/>
    <x v="1"/>
    <x v="3"/>
    <d v="2019-03-25T00:00:00"/>
    <s v="A"/>
    <s v="Not Available"/>
    <s v="098-765-4321"/>
    <x v="2"/>
    <x v="0"/>
    <x v="1"/>
    <x v="1"/>
    <x v="1"/>
  </r>
  <r>
    <x v="4"/>
    <x v="2"/>
    <x v="0"/>
    <x v="1"/>
    <x v="2"/>
    <x v="1"/>
    <d v="2019-03-25T00:00:00"/>
    <s v="C"/>
    <s v="email@example.com"/>
    <s v="Not Available"/>
    <x v="2"/>
    <x v="0"/>
    <x v="2"/>
    <x v="1"/>
    <x v="0"/>
  </r>
  <r>
    <x v="5"/>
    <x v="4"/>
    <x v="1"/>
    <x v="1"/>
    <x v="2"/>
    <x v="4"/>
    <d v="2019-03-25T00:00:00"/>
    <s v="F"/>
    <s v="email@example.com"/>
    <s v="123-456-7890"/>
    <x v="2"/>
    <x v="1"/>
    <x v="0"/>
    <x v="0"/>
    <x v="0"/>
  </r>
  <r>
    <x v="7"/>
    <x v="0"/>
    <x v="0"/>
    <x v="1"/>
    <x v="4"/>
    <x v="4"/>
    <d v="2019-03-25T00:00:00"/>
    <s v="B"/>
    <s v="name@company.org"/>
    <s v="555-555-5555"/>
    <x v="2"/>
    <x v="0"/>
    <x v="2"/>
    <x v="1"/>
    <x v="0"/>
  </r>
  <r>
    <x v="2"/>
    <x v="0"/>
    <x v="2"/>
    <x v="2"/>
    <x v="1"/>
    <x v="1"/>
    <d v="2019-03-25T00:00:00"/>
    <s v="A"/>
    <s v="name@company.org"/>
    <s v="123-456-7890"/>
    <x v="2"/>
    <x v="2"/>
    <x v="1"/>
    <x v="1"/>
    <x v="1"/>
  </r>
  <r>
    <x v="6"/>
    <x v="0"/>
    <x v="0"/>
    <x v="0"/>
    <x v="2"/>
    <x v="0"/>
    <d v="2019-03-25T00:00:00"/>
    <s v="A"/>
    <s v="Not Available"/>
    <s v="098-765-4321"/>
    <x v="2"/>
    <x v="0"/>
    <x v="1"/>
    <x v="1"/>
    <x v="1"/>
  </r>
  <r>
    <x v="3"/>
    <x v="0"/>
    <x v="1"/>
    <x v="0"/>
    <x v="3"/>
    <x v="2"/>
    <d v="2019-03-25T00:00:00"/>
    <s v="A"/>
    <s v="user@domain.com"/>
    <s v="098-765-4321"/>
    <x v="2"/>
    <x v="1"/>
    <x v="1"/>
    <x v="1"/>
    <x v="1"/>
  </r>
  <r>
    <x v="3"/>
    <x v="4"/>
    <x v="4"/>
    <x v="2"/>
    <x v="4"/>
    <x v="3"/>
    <d v="2019-03-25T00:00:00"/>
    <s v="A"/>
    <s v="email@example.com"/>
    <s v="123-456-7890"/>
    <x v="2"/>
    <x v="1"/>
    <x v="1"/>
    <x v="1"/>
    <x v="1"/>
  </r>
  <r>
    <x v="6"/>
    <x v="4"/>
    <x v="4"/>
    <x v="2"/>
    <x v="4"/>
    <x v="1"/>
    <d v="2019-03-25T00:00:00"/>
    <s v="B"/>
    <s v="name@company.org"/>
    <s v="Not Available"/>
    <x v="2"/>
    <x v="1"/>
    <x v="2"/>
    <x v="1"/>
    <x v="0"/>
  </r>
  <r>
    <x v="9"/>
    <x v="1"/>
    <x v="4"/>
    <x v="2"/>
    <x v="1"/>
    <x v="0"/>
    <d v="2019-03-25T00:00:00"/>
    <s v="B"/>
    <s v="Not Available"/>
    <s v="098-765-4321"/>
    <x v="2"/>
    <x v="1"/>
    <x v="2"/>
    <x v="1"/>
    <x v="0"/>
  </r>
  <r>
    <x v="6"/>
    <x v="3"/>
    <x v="5"/>
    <x v="2"/>
    <x v="4"/>
    <x v="0"/>
    <d v="2019-03-25T00:00:00"/>
    <s v="D"/>
    <s v="Not Available"/>
    <s v="Not Available"/>
    <x v="2"/>
    <x v="2"/>
    <x v="0"/>
    <x v="0"/>
    <x v="0"/>
  </r>
  <r>
    <x v="9"/>
    <x v="0"/>
    <x v="5"/>
    <x v="0"/>
    <x v="3"/>
    <x v="2"/>
    <d v="2019-03-25T00:00:00"/>
    <s v="F"/>
    <s v="Not Available"/>
    <s v="123-456-7890"/>
    <x v="2"/>
    <x v="2"/>
    <x v="0"/>
    <x v="0"/>
    <x v="0"/>
  </r>
  <r>
    <x v="9"/>
    <x v="2"/>
    <x v="5"/>
    <x v="0"/>
    <x v="2"/>
    <x v="3"/>
    <d v="2019-03-25T00:00:00"/>
    <s v="D"/>
    <s v="Not Available"/>
    <s v="098-765-4321"/>
    <x v="2"/>
    <x v="2"/>
    <x v="0"/>
    <x v="0"/>
    <x v="0"/>
  </r>
  <r>
    <x v="4"/>
    <x v="0"/>
    <x v="5"/>
    <x v="1"/>
    <x v="1"/>
    <x v="1"/>
    <d v="2019-03-25T00:00:00"/>
    <s v="D"/>
    <s v="email@example.com"/>
    <s v="Not Available"/>
    <x v="2"/>
    <x v="2"/>
    <x v="0"/>
    <x v="0"/>
    <x v="0"/>
  </r>
  <r>
    <x v="1"/>
    <x v="3"/>
    <x v="2"/>
    <x v="1"/>
    <x v="1"/>
    <x v="0"/>
    <d v="2019-03-25T00:00:00"/>
    <s v="D"/>
    <s v="name@company.org"/>
    <s v="098-765-4321"/>
    <x v="2"/>
    <x v="2"/>
    <x v="0"/>
    <x v="0"/>
    <x v="0"/>
  </r>
  <r>
    <x v="3"/>
    <x v="0"/>
    <x v="4"/>
    <x v="2"/>
    <x v="2"/>
    <x v="2"/>
    <d v="2019-03-25T00:00:00"/>
    <s v="B"/>
    <s v="email@example.com"/>
    <s v="Not Available"/>
    <x v="2"/>
    <x v="1"/>
    <x v="2"/>
    <x v="1"/>
    <x v="0"/>
  </r>
  <r>
    <x v="3"/>
    <x v="1"/>
    <x v="1"/>
    <x v="0"/>
    <x v="4"/>
    <x v="0"/>
    <d v="2019-03-25T00:00:00"/>
    <s v="F"/>
    <s v="email@example.com"/>
    <s v="555-555-5555"/>
    <x v="2"/>
    <x v="1"/>
    <x v="0"/>
    <x v="0"/>
    <x v="0"/>
  </r>
  <r>
    <x v="8"/>
    <x v="0"/>
    <x v="4"/>
    <x v="1"/>
    <x v="1"/>
    <x v="4"/>
    <d v="2019-03-25T00:00:00"/>
    <s v="C"/>
    <s v="email@example.com"/>
    <s v="123-456-7890"/>
    <x v="2"/>
    <x v="1"/>
    <x v="2"/>
    <x v="1"/>
    <x v="0"/>
  </r>
  <r>
    <x v="1"/>
    <x v="3"/>
    <x v="0"/>
    <x v="2"/>
    <x v="1"/>
    <x v="3"/>
    <d v="2019-03-25T00:00:00"/>
    <s v="C"/>
    <s v="email@example.com"/>
    <s v="Not Available"/>
    <x v="2"/>
    <x v="0"/>
    <x v="2"/>
    <x v="1"/>
    <x v="0"/>
  </r>
  <r>
    <x v="3"/>
    <x v="0"/>
    <x v="1"/>
    <x v="0"/>
    <x v="2"/>
    <x v="0"/>
    <d v="2019-03-25T00:00:00"/>
    <s v="B"/>
    <s v="user@domain.com"/>
    <s v="Not Available"/>
    <x v="2"/>
    <x v="1"/>
    <x v="2"/>
    <x v="1"/>
    <x v="0"/>
  </r>
  <r>
    <x v="7"/>
    <x v="4"/>
    <x v="4"/>
    <x v="1"/>
    <x v="4"/>
    <x v="4"/>
    <d v="2019-03-25T00:00:00"/>
    <s v="A"/>
    <s v="Not Available"/>
    <s v="Not Available"/>
    <x v="2"/>
    <x v="1"/>
    <x v="1"/>
    <x v="1"/>
    <x v="1"/>
  </r>
  <r>
    <x v="0"/>
    <x v="3"/>
    <x v="0"/>
    <x v="0"/>
    <x v="2"/>
    <x v="4"/>
    <d v="2019-03-25T00:00:00"/>
    <s v="B"/>
    <s v="Not Available"/>
    <s v="123-456-7890"/>
    <x v="2"/>
    <x v="0"/>
    <x v="2"/>
    <x v="1"/>
    <x v="0"/>
  </r>
  <r>
    <x v="4"/>
    <x v="3"/>
    <x v="5"/>
    <x v="2"/>
    <x v="0"/>
    <x v="1"/>
    <d v="2019-03-25T00:00:00"/>
    <s v="A"/>
    <s v="Not Available"/>
    <s v="098-765-4321"/>
    <x v="2"/>
    <x v="2"/>
    <x v="1"/>
    <x v="1"/>
    <x v="1"/>
  </r>
  <r>
    <x v="8"/>
    <x v="3"/>
    <x v="4"/>
    <x v="1"/>
    <x v="4"/>
    <x v="4"/>
    <d v="2019-03-25T00:00:00"/>
    <s v="C"/>
    <s v="user@domain.com"/>
    <s v="555-555-5555"/>
    <x v="2"/>
    <x v="1"/>
    <x v="2"/>
    <x v="1"/>
    <x v="0"/>
  </r>
  <r>
    <x v="7"/>
    <x v="0"/>
    <x v="1"/>
    <x v="2"/>
    <x v="2"/>
    <x v="4"/>
    <d v="2019-03-25T00:00:00"/>
    <s v="C"/>
    <s v="email@example.com"/>
    <s v="098-765-4321"/>
    <x v="2"/>
    <x v="1"/>
    <x v="2"/>
    <x v="1"/>
    <x v="0"/>
  </r>
  <r>
    <x v="7"/>
    <x v="2"/>
    <x v="0"/>
    <x v="2"/>
    <x v="0"/>
    <x v="4"/>
    <d v="2019-03-25T00:00:00"/>
    <s v="B"/>
    <s v="Not Available"/>
    <s v="123-456-7890"/>
    <x v="2"/>
    <x v="0"/>
    <x v="2"/>
    <x v="1"/>
    <x v="0"/>
  </r>
  <r>
    <x v="7"/>
    <x v="1"/>
    <x v="2"/>
    <x v="2"/>
    <x v="2"/>
    <x v="0"/>
    <d v="2019-03-25T00:00:00"/>
    <s v="F"/>
    <s v="Not Available"/>
    <s v="555-555-5555"/>
    <x v="2"/>
    <x v="2"/>
    <x v="0"/>
    <x v="0"/>
    <x v="0"/>
  </r>
  <r>
    <x v="2"/>
    <x v="2"/>
    <x v="3"/>
    <x v="0"/>
    <x v="2"/>
    <x v="2"/>
    <d v="2019-03-25T00:00:00"/>
    <s v="B"/>
    <s v="Not Available"/>
    <s v="Not Available"/>
    <x v="2"/>
    <x v="0"/>
    <x v="2"/>
    <x v="1"/>
    <x v="0"/>
  </r>
  <r>
    <x v="6"/>
    <x v="2"/>
    <x v="4"/>
    <x v="0"/>
    <x v="0"/>
    <x v="1"/>
    <d v="2019-03-25T00:00:00"/>
    <s v="D"/>
    <s v="email@example.com"/>
    <s v="123-456-7890"/>
    <x v="2"/>
    <x v="1"/>
    <x v="0"/>
    <x v="0"/>
    <x v="0"/>
  </r>
  <r>
    <x v="3"/>
    <x v="2"/>
    <x v="3"/>
    <x v="2"/>
    <x v="2"/>
    <x v="0"/>
    <d v="2019-03-25T00:00:00"/>
    <s v="B"/>
    <s v="name@company.org"/>
    <s v="555-555-5555"/>
    <x v="2"/>
    <x v="0"/>
    <x v="2"/>
    <x v="1"/>
    <x v="0"/>
  </r>
  <r>
    <x v="3"/>
    <x v="0"/>
    <x v="0"/>
    <x v="2"/>
    <x v="3"/>
    <x v="3"/>
    <d v="2019-03-25T00:00:00"/>
    <s v="D"/>
    <s v="Not Available"/>
    <s v="098-765-4321"/>
    <x v="2"/>
    <x v="0"/>
    <x v="0"/>
    <x v="0"/>
    <x v="0"/>
  </r>
  <r>
    <x v="3"/>
    <x v="1"/>
    <x v="0"/>
    <x v="2"/>
    <x v="0"/>
    <x v="1"/>
    <d v="2019-03-25T00:00:00"/>
    <s v="F"/>
    <s v="Not Available"/>
    <s v="Not Available"/>
    <x v="2"/>
    <x v="0"/>
    <x v="0"/>
    <x v="0"/>
    <x v="0"/>
  </r>
  <r>
    <x v="3"/>
    <x v="1"/>
    <x v="5"/>
    <x v="0"/>
    <x v="3"/>
    <x v="1"/>
    <d v="2019-03-25T00:00:00"/>
    <s v="B"/>
    <s v="email@example.com"/>
    <s v="123-456-7890"/>
    <x v="2"/>
    <x v="2"/>
    <x v="2"/>
    <x v="1"/>
    <x v="0"/>
  </r>
  <r>
    <x v="9"/>
    <x v="2"/>
    <x v="5"/>
    <x v="0"/>
    <x v="3"/>
    <x v="2"/>
    <d v="2019-03-25T00:00:00"/>
    <s v="A"/>
    <s v="user@domain.com"/>
    <s v="555-555-5555"/>
    <x v="2"/>
    <x v="2"/>
    <x v="1"/>
    <x v="1"/>
    <x v="1"/>
  </r>
  <r>
    <x v="7"/>
    <x v="2"/>
    <x v="2"/>
    <x v="1"/>
    <x v="3"/>
    <x v="3"/>
    <d v="2019-03-25T00:00:00"/>
    <s v="B"/>
    <s v="email@example.com"/>
    <s v="Not Available"/>
    <x v="2"/>
    <x v="2"/>
    <x v="2"/>
    <x v="1"/>
    <x v="0"/>
  </r>
  <r>
    <x v="4"/>
    <x v="1"/>
    <x v="1"/>
    <x v="2"/>
    <x v="1"/>
    <x v="4"/>
    <d v="2019-03-25T00:00:00"/>
    <s v="D"/>
    <s v="email@example.com"/>
    <s v="555-555-5555"/>
    <x v="2"/>
    <x v="1"/>
    <x v="0"/>
    <x v="0"/>
    <x v="0"/>
  </r>
  <r>
    <x v="2"/>
    <x v="3"/>
    <x v="3"/>
    <x v="0"/>
    <x v="0"/>
    <x v="2"/>
    <d v="2019-03-25T00:00:00"/>
    <s v="B"/>
    <s v="user@domain.com"/>
    <s v="Not Available"/>
    <x v="2"/>
    <x v="0"/>
    <x v="2"/>
    <x v="1"/>
    <x v="0"/>
  </r>
  <r>
    <x v="5"/>
    <x v="0"/>
    <x v="4"/>
    <x v="2"/>
    <x v="3"/>
    <x v="0"/>
    <d v="2019-03-25T00:00:00"/>
    <s v="D"/>
    <s v="user@domain.com"/>
    <s v="123-456-7890"/>
    <x v="2"/>
    <x v="1"/>
    <x v="0"/>
    <x v="0"/>
    <x v="0"/>
  </r>
  <r>
    <x v="9"/>
    <x v="2"/>
    <x v="3"/>
    <x v="2"/>
    <x v="3"/>
    <x v="3"/>
    <d v="2019-03-25T00:00:00"/>
    <s v="C"/>
    <s v="user@domain.com"/>
    <s v="Not Available"/>
    <x v="2"/>
    <x v="0"/>
    <x v="2"/>
    <x v="1"/>
    <x v="0"/>
  </r>
  <r>
    <x v="7"/>
    <x v="3"/>
    <x v="5"/>
    <x v="1"/>
    <x v="3"/>
    <x v="1"/>
    <d v="2019-03-25T00:00:00"/>
    <s v="F"/>
    <s v="name@company.org"/>
    <s v="Not Available"/>
    <x v="2"/>
    <x v="2"/>
    <x v="0"/>
    <x v="0"/>
    <x v="0"/>
  </r>
  <r>
    <x v="1"/>
    <x v="0"/>
    <x v="3"/>
    <x v="2"/>
    <x v="0"/>
    <x v="2"/>
    <d v="2019-03-25T00:00:00"/>
    <s v="B"/>
    <s v="user@domain.com"/>
    <s v="098-765-4321"/>
    <x v="2"/>
    <x v="0"/>
    <x v="2"/>
    <x v="1"/>
    <x v="0"/>
  </r>
  <r>
    <x v="8"/>
    <x v="0"/>
    <x v="0"/>
    <x v="0"/>
    <x v="1"/>
    <x v="3"/>
    <d v="2019-03-25T00:00:00"/>
    <s v="C"/>
    <s v="name@company.org"/>
    <s v="123-456-7890"/>
    <x v="2"/>
    <x v="0"/>
    <x v="2"/>
    <x v="1"/>
    <x v="0"/>
  </r>
  <r>
    <x v="4"/>
    <x v="0"/>
    <x v="5"/>
    <x v="1"/>
    <x v="0"/>
    <x v="2"/>
    <d v="2019-03-25T00:00:00"/>
    <s v="C"/>
    <s v="Not Available"/>
    <s v="555-555-5555"/>
    <x v="2"/>
    <x v="2"/>
    <x v="2"/>
    <x v="1"/>
    <x v="0"/>
  </r>
  <r>
    <x v="6"/>
    <x v="1"/>
    <x v="0"/>
    <x v="1"/>
    <x v="2"/>
    <x v="1"/>
    <d v="2019-03-25T00:00:00"/>
    <s v="F"/>
    <s v="Not Available"/>
    <s v="Not Available"/>
    <x v="2"/>
    <x v="0"/>
    <x v="0"/>
    <x v="0"/>
    <x v="0"/>
  </r>
  <r>
    <x v="2"/>
    <x v="0"/>
    <x v="0"/>
    <x v="2"/>
    <x v="1"/>
    <x v="1"/>
    <d v="2019-03-25T00:00:00"/>
    <s v="F"/>
    <s v="email@example.com"/>
    <s v="Not Available"/>
    <x v="2"/>
    <x v="0"/>
    <x v="0"/>
    <x v="0"/>
    <x v="0"/>
  </r>
  <r>
    <x v="1"/>
    <x v="4"/>
    <x v="3"/>
    <x v="1"/>
    <x v="0"/>
    <x v="4"/>
    <d v="2019-03-25T00:00:00"/>
    <s v="D"/>
    <s v="user@domain.com"/>
    <s v="123-456-7890"/>
    <x v="2"/>
    <x v="0"/>
    <x v="0"/>
    <x v="0"/>
    <x v="0"/>
  </r>
  <r>
    <x v="9"/>
    <x v="3"/>
    <x v="3"/>
    <x v="0"/>
    <x v="1"/>
    <x v="4"/>
    <d v="2019-03-25T00:00:00"/>
    <s v="A"/>
    <s v="Not Available"/>
    <s v="Not Available"/>
    <x v="2"/>
    <x v="0"/>
    <x v="1"/>
    <x v="1"/>
    <x v="1"/>
  </r>
  <r>
    <x v="3"/>
    <x v="0"/>
    <x v="5"/>
    <x v="1"/>
    <x v="0"/>
    <x v="1"/>
    <d v="2019-03-25T00:00:00"/>
    <s v="A"/>
    <s v="email@example.com"/>
    <s v="123-456-7890"/>
    <x v="2"/>
    <x v="2"/>
    <x v="1"/>
    <x v="1"/>
    <x v="1"/>
  </r>
  <r>
    <x v="3"/>
    <x v="2"/>
    <x v="5"/>
    <x v="2"/>
    <x v="3"/>
    <x v="3"/>
    <d v="2019-03-25T00:00:00"/>
    <s v="A"/>
    <s v="email@example.com"/>
    <s v="Not Available"/>
    <x v="2"/>
    <x v="2"/>
    <x v="1"/>
    <x v="1"/>
    <x v="1"/>
  </r>
  <r>
    <x v="7"/>
    <x v="1"/>
    <x v="3"/>
    <x v="2"/>
    <x v="2"/>
    <x v="0"/>
    <d v="2019-03-25T00:00:00"/>
    <s v="B"/>
    <s v="email@example.com"/>
    <s v="123-456-7890"/>
    <x v="2"/>
    <x v="0"/>
    <x v="2"/>
    <x v="1"/>
    <x v="0"/>
  </r>
  <r>
    <x v="2"/>
    <x v="2"/>
    <x v="2"/>
    <x v="1"/>
    <x v="2"/>
    <x v="2"/>
    <d v="2019-03-25T00:00:00"/>
    <s v="F"/>
    <s v="email@example.com"/>
    <s v="Not Available"/>
    <x v="2"/>
    <x v="2"/>
    <x v="0"/>
    <x v="0"/>
    <x v="0"/>
  </r>
  <r>
    <x v="1"/>
    <x v="0"/>
    <x v="5"/>
    <x v="2"/>
    <x v="4"/>
    <x v="2"/>
    <d v="2019-03-25T00:00:00"/>
    <s v="A"/>
    <s v="Not Available"/>
    <s v="Not Available"/>
    <x v="2"/>
    <x v="2"/>
    <x v="1"/>
    <x v="1"/>
    <x v="1"/>
  </r>
  <r>
    <x v="1"/>
    <x v="0"/>
    <x v="5"/>
    <x v="1"/>
    <x v="0"/>
    <x v="0"/>
    <d v="2019-03-25T00:00:00"/>
    <s v="B"/>
    <s v="name@company.org"/>
    <s v="Not Available"/>
    <x v="2"/>
    <x v="2"/>
    <x v="2"/>
    <x v="1"/>
    <x v="0"/>
  </r>
  <r>
    <x v="2"/>
    <x v="1"/>
    <x v="1"/>
    <x v="1"/>
    <x v="1"/>
    <x v="1"/>
    <d v="2019-03-25T00:00:00"/>
    <s v="B"/>
    <s v="name@company.org"/>
    <s v="Not Available"/>
    <x v="2"/>
    <x v="1"/>
    <x v="2"/>
    <x v="1"/>
    <x v="0"/>
  </r>
  <r>
    <x v="6"/>
    <x v="0"/>
    <x v="0"/>
    <x v="1"/>
    <x v="0"/>
    <x v="1"/>
    <d v="2019-03-25T00:00:00"/>
    <s v="D"/>
    <s v="Not Available"/>
    <s v="Not Available"/>
    <x v="2"/>
    <x v="0"/>
    <x v="0"/>
    <x v="0"/>
    <x v="0"/>
  </r>
  <r>
    <x v="9"/>
    <x v="3"/>
    <x v="0"/>
    <x v="0"/>
    <x v="2"/>
    <x v="3"/>
    <d v="2019-03-25T00:00:00"/>
    <s v="A"/>
    <s v="user@domain.com"/>
    <s v="098-765-4321"/>
    <x v="2"/>
    <x v="0"/>
    <x v="1"/>
    <x v="1"/>
    <x v="1"/>
  </r>
  <r>
    <x v="6"/>
    <x v="1"/>
    <x v="1"/>
    <x v="2"/>
    <x v="0"/>
    <x v="2"/>
    <d v="2019-03-25T00:00:00"/>
    <s v="D"/>
    <s v="Not Available"/>
    <s v="Not Available"/>
    <x v="2"/>
    <x v="1"/>
    <x v="0"/>
    <x v="0"/>
    <x v="0"/>
  </r>
  <r>
    <x v="4"/>
    <x v="3"/>
    <x v="5"/>
    <x v="1"/>
    <x v="4"/>
    <x v="0"/>
    <d v="2019-03-25T00:00:00"/>
    <s v="A"/>
    <s v="name@company.org"/>
    <s v="123-456-7890"/>
    <x v="2"/>
    <x v="2"/>
    <x v="1"/>
    <x v="1"/>
    <x v="1"/>
  </r>
  <r>
    <x v="7"/>
    <x v="4"/>
    <x v="5"/>
    <x v="2"/>
    <x v="3"/>
    <x v="0"/>
    <d v="2019-03-25T00:00:00"/>
    <s v="B"/>
    <s v="Not Available"/>
    <s v="123-456-7890"/>
    <x v="2"/>
    <x v="2"/>
    <x v="2"/>
    <x v="1"/>
    <x v="0"/>
  </r>
  <r>
    <x v="1"/>
    <x v="1"/>
    <x v="4"/>
    <x v="0"/>
    <x v="1"/>
    <x v="0"/>
    <d v="2019-03-25T00:00:00"/>
    <s v="F"/>
    <s v="user@domain.com"/>
    <s v="Not Available"/>
    <x v="2"/>
    <x v="1"/>
    <x v="0"/>
    <x v="0"/>
    <x v="0"/>
  </r>
  <r>
    <x v="7"/>
    <x v="3"/>
    <x v="3"/>
    <x v="0"/>
    <x v="0"/>
    <x v="4"/>
    <d v="2019-03-25T00:00:00"/>
    <s v="A"/>
    <s v="Not Available"/>
    <s v="Not Available"/>
    <x v="2"/>
    <x v="0"/>
    <x v="1"/>
    <x v="1"/>
    <x v="1"/>
  </r>
  <r>
    <x v="0"/>
    <x v="4"/>
    <x v="1"/>
    <x v="0"/>
    <x v="4"/>
    <x v="0"/>
    <d v="2019-03-25T00:00:00"/>
    <s v="B"/>
    <s v="Not Available"/>
    <s v="Not Available"/>
    <x v="2"/>
    <x v="1"/>
    <x v="2"/>
    <x v="1"/>
    <x v="0"/>
  </r>
  <r>
    <x v="3"/>
    <x v="4"/>
    <x v="2"/>
    <x v="0"/>
    <x v="0"/>
    <x v="3"/>
    <d v="2019-03-25T00:00:00"/>
    <s v="A"/>
    <s v="user@domain.com"/>
    <s v="098-765-4321"/>
    <x v="2"/>
    <x v="2"/>
    <x v="1"/>
    <x v="1"/>
    <x v="1"/>
  </r>
  <r>
    <x v="7"/>
    <x v="1"/>
    <x v="4"/>
    <x v="2"/>
    <x v="1"/>
    <x v="1"/>
    <d v="2019-03-25T00:00:00"/>
    <s v="C"/>
    <s v="email@example.com"/>
    <s v="Not Available"/>
    <x v="2"/>
    <x v="1"/>
    <x v="2"/>
    <x v="1"/>
    <x v="0"/>
  </r>
  <r>
    <x v="8"/>
    <x v="2"/>
    <x v="2"/>
    <x v="1"/>
    <x v="4"/>
    <x v="2"/>
    <d v="2019-03-25T00:00:00"/>
    <s v="C"/>
    <s v="Not Available"/>
    <s v="Not Available"/>
    <x v="2"/>
    <x v="2"/>
    <x v="2"/>
    <x v="1"/>
    <x v="0"/>
  </r>
  <r>
    <x v="2"/>
    <x v="0"/>
    <x v="5"/>
    <x v="2"/>
    <x v="4"/>
    <x v="4"/>
    <d v="2019-12-01T00:00:00"/>
    <s v="B"/>
    <s v="Not Available"/>
    <s v="123-456-7890"/>
    <x v="3"/>
    <x v="2"/>
    <x v="2"/>
    <x v="1"/>
    <x v="0"/>
  </r>
  <r>
    <x v="0"/>
    <x v="2"/>
    <x v="3"/>
    <x v="2"/>
    <x v="4"/>
    <x v="3"/>
    <d v="2019-12-01T00:00:00"/>
    <s v="B"/>
    <s v="Not Available"/>
    <s v="123-456-7890"/>
    <x v="3"/>
    <x v="0"/>
    <x v="2"/>
    <x v="1"/>
    <x v="0"/>
  </r>
  <r>
    <x v="0"/>
    <x v="2"/>
    <x v="0"/>
    <x v="2"/>
    <x v="1"/>
    <x v="1"/>
    <d v="2019-12-01T00:00:00"/>
    <s v="C"/>
    <s v="Not Available"/>
    <s v="555-555-5555"/>
    <x v="3"/>
    <x v="0"/>
    <x v="2"/>
    <x v="1"/>
    <x v="0"/>
  </r>
  <r>
    <x v="5"/>
    <x v="2"/>
    <x v="2"/>
    <x v="0"/>
    <x v="0"/>
    <x v="2"/>
    <d v="2019-12-01T00:00:00"/>
    <s v="B"/>
    <s v="name@company.org"/>
    <s v="098-765-4321"/>
    <x v="3"/>
    <x v="2"/>
    <x v="2"/>
    <x v="1"/>
    <x v="0"/>
  </r>
  <r>
    <x v="2"/>
    <x v="3"/>
    <x v="3"/>
    <x v="0"/>
    <x v="0"/>
    <x v="4"/>
    <d v="2019-12-01T00:00:00"/>
    <s v="B"/>
    <s v="Not Available"/>
    <s v="Not Available"/>
    <x v="3"/>
    <x v="0"/>
    <x v="2"/>
    <x v="1"/>
    <x v="0"/>
  </r>
  <r>
    <x v="6"/>
    <x v="0"/>
    <x v="2"/>
    <x v="2"/>
    <x v="1"/>
    <x v="3"/>
    <d v="2019-12-01T00:00:00"/>
    <s v="B"/>
    <s v="user@domain.com"/>
    <s v="123-456-7890"/>
    <x v="3"/>
    <x v="2"/>
    <x v="2"/>
    <x v="1"/>
    <x v="0"/>
  </r>
  <r>
    <x v="6"/>
    <x v="1"/>
    <x v="5"/>
    <x v="0"/>
    <x v="0"/>
    <x v="0"/>
    <d v="2019-12-01T00:00:00"/>
    <s v="C"/>
    <s v="name@company.org"/>
    <s v="098-765-4321"/>
    <x v="3"/>
    <x v="2"/>
    <x v="2"/>
    <x v="1"/>
    <x v="0"/>
  </r>
  <r>
    <x v="0"/>
    <x v="0"/>
    <x v="1"/>
    <x v="2"/>
    <x v="3"/>
    <x v="1"/>
    <d v="2019-12-01T00:00:00"/>
    <s v="F"/>
    <s v="user@domain.com"/>
    <s v="098-765-4321"/>
    <x v="3"/>
    <x v="1"/>
    <x v="0"/>
    <x v="0"/>
    <x v="0"/>
  </r>
  <r>
    <x v="7"/>
    <x v="1"/>
    <x v="3"/>
    <x v="0"/>
    <x v="4"/>
    <x v="2"/>
    <d v="2019-12-01T00:00:00"/>
    <s v="D"/>
    <s v="Not Available"/>
    <s v="098-765-4321"/>
    <x v="3"/>
    <x v="0"/>
    <x v="0"/>
    <x v="0"/>
    <x v="0"/>
  </r>
  <r>
    <x v="7"/>
    <x v="4"/>
    <x v="1"/>
    <x v="2"/>
    <x v="3"/>
    <x v="0"/>
    <d v="2019-12-01T00:00:00"/>
    <s v="F"/>
    <s v="Not Available"/>
    <s v="Not Available"/>
    <x v="3"/>
    <x v="1"/>
    <x v="0"/>
    <x v="0"/>
    <x v="0"/>
  </r>
  <r>
    <x v="5"/>
    <x v="3"/>
    <x v="2"/>
    <x v="0"/>
    <x v="4"/>
    <x v="3"/>
    <d v="2019-12-01T00:00:00"/>
    <s v="A"/>
    <s v="user@domain.com"/>
    <s v="Not Available"/>
    <x v="3"/>
    <x v="2"/>
    <x v="1"/>
    <x v="1"/>
    <x v="1"/>
  </r>
  <r>
    <x v="7"/>
    <x v="2"/>
    <x v="3"/>
    <x v="1"/>
    <x v="1"/>
    <x v="3"/>
    <d v="2019-12-01T00:00:00"/>
    <s v="F"/>
    <s v="user@domain.com"/>
    <s v="098-765-4321"/>
    <x v="3"/>
    <x v="0"/>
    <x v="0"/>
    <x v="0"/>
    <x v="0"/>
  </r>
  <r>
    <x v="5"/>
    <x v="0"/>
    <x v="3"/>
    <x v="0"/>
    <x v="4"/>
    <x v="2"/>
    <d v="2019-12-01T00:00:00"/>
    <s v="D"/>
    <s v="user@domain.com"/>
    <s v="555-555-5555"/>
    <x v="3"/>
    <x v="0"/>
    <x v="0"/>
    <x v="0"/>
    <x v="0"/>
  </r>
  <r>
    <x v="5"/>
    <x v="3"/>
    <x v="2"/>
    <x v="1"/>
    <x v="3"/>
    <x v="1"/>
    <d v="2019-12-01T00:00:00"/>
    <s v="F"/>
    <s v="Not Available"/>
    <s v="Not Available"/>
    <x v="3"/>
    <x v="2"/>
    <x v="0"/>
    <x v="0"/>
    <x v="0"/>
  </r>
  <r>
    <x v="9"/>
    <x v="4"/>
    <x v="0"/>
    <x v="1"/>
    <x v="0"/>
    <x v="1"/>
    <d v="2019-12-01T00:00:00"/>
    <s v="A"/>
    <s v="email@example.com"/>
    <s v="Not Available"/>
    <x v="3"/>
    <x v="0"/>
    <x v="1"/>
    <x v="1"/>
    <x v="1"/>
  </r>
  <r>
    <x v="2"/>
    <x v="0"/>
    <x v="1"/>
    <x v="1"/>
    <x v="4"/>
    <x v="1"/>
    <d v="2019-12-01T00:00:00"/>
    <s v="F"/>
    <s v="user@domain.com"/>
    <s v="123-456-7890"/>
    <x v="3"/>
    <x v="1"/>
    <x v="0"/>
    <x v="0"/>
    <x v="0"/>
  </r>
  <r>
    <x v="4"/>
    <x v="2"/>
    <x v="4"/>
    <x v="0"/>
    <x v="0"/>
    <x v="4"/>
    <d v="2019-12-01T00:00:00"/>
    <s v="F"/>
    <s v="Not Available"/>
    <s v="555-555-5555"/>
    <x v="3"/>
    <x v="1"/>
    <x v="0"/>
    <x v="0"/>
    <x v="0"/>
  </r>
  <r>
    <x v="4"/>
    <x v="3"/>
    <x v="3"/>
    <x v="2"/>
    <x v="1"/>
    <x v="2"/>
    <d v="2019-12-01T00:00:00"/>
    <s v="B"/>
    <s v="email@example.com"/>
    <s v="555-555-5555"/>
    <x v="3"/>
    <x v="0"/>
    <x v="2"/>
    <x v="1"/>
    <x v="0"/>
  </r>
  <r>
    <x v="8"/>
    <x v="1"/>
    <x v="1"/>
    <x v="2"/>
    <x v="1"/>
    <x v="4"/>
    <d v="2019-12-01T00:00:00"/>
    <s v="A"/>
    <s v="Not Available"/>
    <s v="Not Available"/>
    <x v="3"/>
    <x v="1"/>
    <x v="1"/>
    <x v="1"/>
    <x v="1"/>
  </r>
  <r>
    <x v="2"/>
    <x v="3"/>
    <x v="4"/>
    <x v="1"/>
    <x v="1"/>
    <x v="4"/>
    <d v="2019-12-01T00:00:00"/>
    <s v="A"/>
    <s v="email@example.com"/>
    <s v="555-555-5555"/>
    <x v="3"/>
    <x v="1"/>
    <x v="1"/>
    <x v="1"/>
    <x v="1"/>
  </r>
  <r>
    <x v="2"/>
    <x v="0"/>
    <x v="1"/>
    <x v="1"/>
    <x v="2"/>
    <x v="2"/>
    <d v="2019-12-01T00:00:00"/>
    <s v="F"/>
    <s v="user@domain.com"/>
    <s v="Not Available"/>
    <x v="3"/>
    <x v="1"/>
    <x v="0"/>
    <x v="0"/>
    <x v="0"/>
  </r>
  <r>
    <x v="2"/>
    <x v="2"/>
    <x v="0"/>
    <x v="0"/>
    <x v="1"/>
    <x v="3"/>
    <d v="2019-12-01T00:00:00"/>
    <s v="A"/>
    <s v="Not Available"/>
    <s v="098-765-4321"/>
    <x v="3"/>
    <x v="0"/>
    <x v="1"/>
    <x v="1"/>
    <x v="1"/>
  </r>
  <r>
    <x v="9"/>
    <x v="4"/>
    <x v="3"/>
    <x v="1"/>
    <x v="2"/>
    <x v="0"/>
    <d v="2019-12-01T00:00:00"/>
    <s v="D"/>
    <s v="name@company.org"/>
    <s v="555-555-5555"/>
    <x v="3"/>
    <x v="0"/>
    <x v="0"/>
    <x v="0"/>
    <x v="0"/>
  </r>
  <r>
    <x v="4"/>
    <x v="1"/>
    <x v="4"/>
    <x v="1"/>
    <x v="3"/>
    <x v="3"/>
    <d v="2019-12-01T00:00:00"/>
    <s v="C"/>
    <s v="Not Available"/>
    <s v="098-765-4321"/>
    <x v="3"/>
    <x v="1"/>
    <x v="2"/>
    <x v="1"/>
    <x v="0"/>
  </r>
  <r>
    <x v="4"/>
    <x v="0"/>
    <x v="3"/>
    <x v="1"/>
    <x v="4"/>
    <x v="0"/>
    <d v="2019-12-01T00:00:00"/>
    <s v="D"/>
    <s v="Not Available"/>
    <s v="Not Available"/>
    <x v="3"/>
    <x v="0"/>
    <x v="0"/>
    <x v="0"/>
    <x v="0"/>
  </r>
  <r>
    <x v="0"/>
    <x v="4"/>
    <x v="5"/>
    <x v="1"/>
    <x v="2"/>
    <x v="4"/>
    <d v="2019-12-01T00:00:00"/>
    <s v="A"/>
    <s v="email@example.com"/>
    <s v="123-456-7890"/>
    <x v="3"/>
    <x v="2"/>
    <x v="1"/>
    <x v="1"/>
    <x v="1"/>
  </r>
  <r>
    <x v="4"/>
    <x v="3"/>
    <x v="1"/>
    <x v="2"/>
    <x v="3"/>
    <x v="1"/>
    <d v="2019-12-01T00:00:00"/>
    <s v="A"/>
    <s v="name@company.org"/>
    <s v="555-555-5555"/>
    <x v="3"/>
    <x v="1"/>
    <x v="1"/>
    <x v="1"/>
    <x v="1"/>
  </r>
  <r>
    <x v="3"/>
    <x v="0"/>
    <x v="3"/>
    <x v="0"/>
    <x v="4"/>
    <x v="1"/>
    <d v="2019-12-01T00:00:00"/>
    <s v="D"/>
    <s v="email@example.com"/>
    <s v="123-456-7890"/>
    <x v="3"/>
    <x v="0"/>
    <x v="0"/>
    <x v="0"/>
    <x v="0"/>
  </r>
  <r>
    <x v="5"/>
    <x v="0"/>
    <x v="0"/>
    <x v="1"/>
    <x v="4"/>
    <x v="2"/>
    <d v="2019-12-01T00:00:00"/>
    <s v="B"/>
    <s v="email@example.com"/>
    <s v="098-765-4321"/>
    <x v="3"/>
    <x v="0"/>
    <x v="2"/>
    <x v="1"/>
    <x v="0"/>
  </r>
  <r>
    <x v="4"/>
    <x v="0"/>
    <x v="1"/>
    <x v="0"/>
    <x v="1"/>
    <x v="4"/>
    <d v="2019-12-01T00:00:00"/>
    <s v="A"/>
    <s v="Not Available"/>
    <s v="098-765-4321"/>
    <x v="3"/>
    <x v="1"/>
    <x v="1"/>
    <x v="1"/>
    <x v="1"/>
  </r>
  <r>
    <x v="0"/>
    <x v="3"/>
    <x v="2"/>
    <x v="0"/>
    <x v="3"/>
    <x v="3"/>
    <d v="2019-12-01T00:00:00"/>
    <s v="F"/>
    <s v="email@example.com"/>
    <s v="555-555-5555"/>
    <x v="3"/>
    <x v="2"/>
    <x v="0"/>
    <x v="0"/>
    <x v="0"/>
  </r>
  <r>
    <x v="1"/>
    <x v="0"/>
    <x v="0"/>
    <x v="1"/>
    <x v="3"/>
    <x v="1"/>
    <d v="2019-12-01T00:00:00"/>
    <s v="A"/>
    <s v="Not Available"/>
    <s v="123-456-7890"/>
    <x v="3"/>
    <x v="0"/>
    <x v="1"/>
    <x v="1"/>
    <x v="1"/>
  </r>
  <r>
    <x v="2"/>
    <x v="4"/>
    <x v="4"/>
    <x v="1"/>
    <x v="1"/>
    <x v="0"/>
    <d v="2019-12-01T00:00:00"/>
    <s v="F"/>
    <s v="user@domain.com"/>
    <s v="Not Available"/>
    <x v="3"/>
    <x v="1"/>
    <x v="0"/>
    <x v="0"/>
    <x v="0"/>
  </r>
  <r>
    <x v="9"/>
    <x v="4"/>
    <x v="0"/>
    <x v="0"/>
    <x v="4"/>
    <x v="2"/>
    <d v="2019-12-01T00:00:00"/>
    <s v="B"/>
    <s v="name@company.org"/>
    <s v="555-555-5555"/>
    <x v="3"/>
    <x v="0"/>
    <x v="2"/>
    <x v="1"/>
    <x v="0"/>
  </r>
  <r>
    <x v="1"/>
    <x v="3"/>
    <x v="0"/>
    <x v="0"/>
    <x v="3"/>
    <x v="3"/>
    <d v="2019-12-01T00:00:00"/>
    <s v="C"/>
    <s v="Not Available"/>
    <s v="Not Available"/>
    <x v="3"/>
    <x v="0"/>
    <x v="2"/>
    <x v="1"/>
    <x v="0"/>
  </r>
  <r>
    <x v="9"/>
    <x v="2"/>
    <x v="4"/>
    <x v="1"/>
    <x v="0"/>
    <x v="4"/>
    <d v="2019-12-01T00:00:00"/>
    <s v="C"/>
    <s v="Not Available"/>
    <s v="123-456-7890"/>
    <x v="3"/>
    <x v="1"/>
    <x v="2"/>
    <x v="1"/>
    <x v="0"/>
  </r>
  <r>
    <x v="3"/>
    <x v="3"/>
    <x v="3"/>
    <x v="0"/>
    <x v="3"/>
    <x v="4"/>
    <d v="2019-12-01T00:00:00"/>
    <s v="F"/>
    <s v="user@domain.com"/>
    <s v="Not Available"/>
    <x v="3"/>
    <x v="0"/>
    <x v="0"/>
    <x v="0"/>
    <x v="0"/>
  </r>
  <r>
    <x v="7"/>
    <x v="4"/>
    <x v="5"/>
    <x v="2"/>
    <x v="0"/>
    <x v="1"/>
    <d v="2019-12-01T00:00:00"/>
    <s v="D"/>
    <s v="user@domain.com"/>
    <s v="098-765-4321"/>
    <x v="3"/>
    <x v="2"/>
    <x v="0"/>
    <x v="0"/>
    <x v="0"/>
  </r>
  <r>
    <x v="1"/>
    <x v="2"/>
    <x v="1"/>
    <x v="2"/>
    <x v="4"/>
    <x v="1"/>
    <d v="2019-12-01T00:00:00"/>
    <s v="D"/>
    <s v="name@company.org"/>
    <s v="Not Available"/>
    <x v="3"/>
    <x v="1"/>
    <x v="0"/>
    <x v="0"/>
    <x v="0"/>
  </r>
  <r>
    <x v="8"/>
    <x v="0"/>
    <x v="1"/>
    <x v="2"/>
    <x v="0"/>
    <x v="3"/>
    <d v="2019-12-01T00:00:00"/>
    <s v="C"/>
    <s v="name@company.org"/>
    <s v="Not Available"/>
    <x v="3"/>
    <x v="1"/>
    <x v="2"/>
    <x v="1"/>
    <x v="0"/>
  </r>
  <r>
    <x v="9"/>
    <x v="3"/>
    <x v="5"/>
    <x v="2"/>
    <x v="2"/>
    <x v="4"/>
    <d v="2019-12-01T00:00:00"/>
    <s v="F"/>
    <s v="Not Available"/>
    <s v="098-765-4321"/>
    <x v="3"/>
    <x v="2"/>
    <x v="0"/>
    <x v="0"/>
    <x v="0"/>
  </r>
  <r>
    <x v="2"/>
    <x v="1"/>
    <x v="3"/>
    <x v="1"/>
    <x v="2"/>
    <x v="2"/>
    <d v="2019-12-01T00:00:00"/>
    <s v="A"/>
    <s v="user@domain.com"/>
    <s v="Not Available"/>
    <x v="3"/>
    <x v="0"/>
    <x v="1"/>
    <x v="1"/>
    <x v="1"/>
  </r>
  <r>
    <x v="0"/>
    <x v="4"/>
    <x v="4"/>
    <x v="0"/>
    <x v="1"/>
    <x v="2"/>
    <d v="2019-12-01T00:00:00"/>
    <s v="D"/>
    <s v="user@domain.com"/>
    <s v="123-456-7890"/>
    <x v="3"/>
    <x v="1"/>
    <x v="0"/>
    <x v="0"/>
    <x v="0"/>
  </r>
  <r>
    <x v="2"/>
    <x v="3"/>
    <x v="5"/>
    <x v="1"/>
    <x v="1"/>
    <x v="2"/>
    <d v="2019-12-01T00:00:00"/>
    <s v="C"/>
    <s v="name@company.org"/>
    <s v="098-765-4321"/>
    <x v="3"/>
    <x v="2"/>
    <x v="2"/>
    <x v="1"/>
    <x v="0"/>
  </r>
  <r>
    <x v="0"/>
    <x v="1"/>
    <x v="0"/>
    <x v="1"/>
    <x v="1"/>
    <x v="3"/>
    <d v="2019-12-01T00:00:00"/>
    <s v="D"/>
    <s v="name@company.org"/>
    <s v="Not Available"/>
    <x v="3"/>
    <x v="0"/>
    <x v="0"/>
    <x v="0"/>
    <x v="0"/>
  </r>
  <r>
    <x v="5"/>
    <x v="0"/>
    <x v="1"/>
    <x v="1"/>
    <x v="0"/>
    <x v="3"/>
    <d v="2019-12-01T00:00:00"/>
    <s v="A"/>
    <s v="Not Available"/>
    <s v="555-555-5555"/>
    <x v="3"/>
    <x v="1"/>
    <x v="1"/>
    <x v="1"/>
    <x v="1"/>
  </r>
  <r>
    <x v="7"/>
    <x v="3"/>
    <x v="0"/>
    <x v="1"/>
    <x v="3"/>
    <x v="2"/>
    <d v="2019-12-01T00:00:00"/>
    <s v="D"/>
    <s v="name@company.org"/>
    <s v="Not Available"/>
    <x v="3"/>
    <x v="0"/>
    <x v="0"/>
    <x v="0"/>
    <x v="0"/>
  </r>
  <r>
    <x v="6"/>
    <x v="2"/>
    <x v="1"/>
    <x v="2"/>
    <x v="1"/>
    <x v="2"/>
    <d v="2019-12-01T00:00:00"/>
    <s v="C"/>
    <s v="Not Available"/>
    <s v="555-555-5555"/>
    <x v="3"/>
    <x v="1"/>
    <x v="2"/>
    <x v="1"/>
    <x v="0"/>
  </r>
  <r>
    <x v="9"/>
    <x v="2"/>
    <x v="3"/>
    <x v="2"/>
    <x v="0"/>
    <x v="0"/>
    <d v="2019-12-01T00:00:00"/>
    <s v="C"/>
    <s v="name@company.org"/>
    <s v="123-456-7890"/>
    <x v="3"/>
    <x v="0"/>
    <x v="2"/>
    <x v="1"/>
    <x v="0"/>
  </r>
  <r>
    <x v="4"/>
    <x v="4"/>
    <x v="5"/>
    <x v="1"/>
    <x v="2"/>
    <x v="0"/>
    <d v="2019-12-01T00:00:00"/>
    <s v="F"/>
    <s v="Not Available"/>
    <s v="098-765-4321"/>
    <x v="3"/>
    <x v="2"/>
    <x v="0"/>
    <x v="0"/>
    <x v="0"/>
  </r>
  <r>
    <x v="3"/>
    <x v="0"/>
    <x v="5"/>
    <x v="0"/>
    <x v="3"/>
    <x v="1"/>
    <d v="2019-12-01T00:00:00"/>
    <s v="A"/>
    <s v="Not Available"/>
    <s v="Not Available"/>
    <x v="3"/>
    <x v="2"/>
    <x v="1"/>
    <x v="1"/>
    <x v="1"/>
  </r>
  <r>
    <x v="9"/>
    <x v="0"/>
    <x v="5"/>
    <x v="0"/>
    <x v="2"/>
    <x v="3"/>
    <d v="2019-12-01T00:00:00"/>
    <s v="C"/>
    <s v="email@example.com"/>
    <s v="Not Available"/>
    <x v="3"/>
    <x v="2"/>
    <x v="2"/>
    <x v="1"/>
    <x v="0"/>
  </r>
  <r>
    <x v="5"/>
    <x v="1"/>
    <x v="0"/>
    <x v="2"/>
    <x v="4"/>
    <x v="0"/>
    <d v="2019-12-01T00:00:00"/>
    <s v="C"/>
    <s v="user@domain.com"/>
    <s v="123-456-7890"/>
    <x v="3"/>
    <x v="0"/>
    <x v="2"/>
    <x v="1"/>
    <x v="0"/>
  </r>
  <r>
    <x v="2"/>
    <x v="1"/>
    <x v="4"/>
    <x v="0"/>
    <x v="0"/>
    <x v="0"/>
    <d v="2019-12-01T00:00:00"/>
    <s v="B"/>
    <s v="name@company.org"/>
    <s v="555-555-5555"/>
    <x v="3"/>
    <x v="1"/>
    <x v="2"/>
    <x v="1"/>
    <x v="0"/>
  </r>
  <r>
    <x v="7"/>
    <x v="2"/>
    <x v="1"/>
    <x v="0"/>
    <x v="4"/>
    <x v="2"/>
    <d v="2019-12-01T00:00:00"/>
    <s v="C"/>
    <s v="user@domain.com"/>
    <s v="123-456-7890"/>
    <x v="3"/>
    <x v="1"/>
    <x v="2"/>
    <x v="1"/>
    <x v="0"/>
  </r>
  <r>
    <x v="4"/>
    <x v="0"/>
    <x v="0"/>
    <x v="2"/>
    <x v="3"/>
    <x v="2"/>
    <d v="2019-12-01T00:00:00"/>
    <s v="B"/>
    <s v="name@company.org"/>
    <s v="555-555-5555"/>
    <x v="3"/>
    <x v="0"/>
    <x v="2"/>
    <x v="1"/>
    <x v="0"/>
  </r>
  <r>
    <x v="2"/>
    <x v="0"/>
    <x v="5"/>
    <x v="2"/>
    <x v="0"/>
    <x v="2"/>
    <d v="2019-12-01T00:00:00"/>
    <s v="D"/>
    <s v="user@domain.com"/>
    <s v="Not Available"/>
    <x v="3"/>
    <x v="2"/>
    <x v="0"/>
    <x v="0"/>
    <x v="0"/>
  </r>
  <r>
    <x v="8"/>
    <x v="0"/>
    <x v="4"/>
    <x v="2"/>
    <x v="4"/>
    <x v="0"/>
    <d v="2019-12-01T00:00:00"/>
    <s v="A"/>
    <s v="user@domain.com"/>
    <s v="123-456-7890"/>
    <x v="3"/>
    <x v="1"/>
    <x v="1"/>
    <x v="1"/>
    <x v="1"/>
  </r>
  <r>
    <x v="2"/>
    <x v="2"/>
    <x v="1"/>
    <x v="2"/>
    <x v="0"/>
    <x v="0"/>
    <d v="2019-12-01T00:00:00"/>
    <s v="C"/>
    <s v="email@example.com"/>
    <s v="Not Available"/>
    <x v="3"/>
    <x v="1"/>
    <x v="2"/>
    <x v="1"/>
    <x v="0"/>
  </r>
  <r>
    <x v="9"/>
    <x v="1"/>
    <x v="5"/>
    <x v="1"/>
    <x v="4"/>
    <x v="2"/>
    <d v="2019-12-01T00:00:00"/>
    <s v="B"/>
    <s v="user@domain.com"/>
    <s v="123-456-7890"/>
    <x v="3"/>
    <x v="2"/>
    <x v="2"/>
    <x v="1"/>
    <x v="0"/>
  </r>
  <r>
    <x v="1"/>
    <x v="0"/>
    <x v="3"/>
    <x v="0"/>
    <x v="3"/>
    <x v="2"/>
    <d v="2019-12-01T00:00:00"/>
    <s v="C"/>
    <s v="Not Available"/>
    <s v="555-555-5555"/>
    <x v="3"/>
    <x v="0"/>
    <x v="2"/>
    <x v="1"/>
    <x v="0"/>
  </r>
  <r>
    <x v="9"/>
    <x v="0"/>
    <x v="0"/>
    <x v="2"/>
    <x v="4"/>
    <x v="3"/>
    <d v="2019-12-01T00:00:00"/>
    <s v="F"/>
    <s v="Not Available"/>
    <s v="Not Available"/>
    <x v="3"/>
    <x v="0"/>
    <x v="0"/>
    <x v="0"/>
    <x v="0"/>
  </r>
  <r>
    <x v="1"/>
    <x v="0"/>
    <x v="5"/>
    <x v="2"/>
    <x v="4"/>
    <x v="4"/>
    <d v="2019-12-01T00:00:00"/>
    <s v="B"/>
    <s v="Not Available"/>
    <s v="098-765-4321"/>
    <x v="3"/>
    <x v="2"/>
    <x v="2"/>
    <x v="1"/>
    <x v="0"/>
  </r>
  <r>
    <x v="2"/>
    <x v="2"/>
    <x v="0"/>
    <x v="0"/>
    <x v="2"/>
    <x v="4"/>
    <d v="2019-12-01T00:00:00"/>
    <s v="C"/>
    <s v="name@company.org"/>
    <s v="Not Available"/>
    <x v="3"/>
    <x v="0"/>
    <x v="2"/>
    <x v="1"/>
    <x v="0"/>
  </r>
  <r>
    <x v="8"/>
    <x v="0"/>
    <x v="2"/>
    <x v="1"/>
    <x v="4"/>
    <x v="4"/>
    <d v="2019-12-01T00:00:00"/>
    <s v="D"/>
    <s v="user@domain.com"/>
    <s v="Not Available"/>
    <x v="3"/>
    <x v="2"/>
    <x v="0"/>
    <x v="0"/>
    <x v="0"/>
  </r>
  <r>
    <x v="3"/>
    <x v="3"/>
    <x v="1"/>
    <x v="0"/>
    <x v="2"/>
    <x v="3"/>
    <d v="2019-12-01T00:00:00"/>
    <s v="A"/>
    <s v="user@domain.com"/>
    <s v="098-765-4321"/>
    <x v="3"/>
    <x v="1"/>
    <x v="1"/>
    <x v="1"/>
    <x v="1"/>
  </r>
  <r>
    <x v="8"/>
    <x v="0"/>
    <x v="0"/>
    <x v="0"/>
    <x v="3"/>
    <x v="4"/>
    <d v="2019-12-01T00:00:00"/>
    <s v="F"/>
    <s v="Not Available"/>
    <s v="123-456-7890"/>
    <x v="3"/>
    <x v="0"/>
    <x v="0"/>
    <x v="0"/>
    <x v="0"/>
  </r>
  <r>
    <x v="4"/>
    <x v="1"/>
    <x v="5"/>
    <x v="2"/>
    <x v="2"/>
    <x v="3"/>
    <d v="2019-12-01T00:00:00"/>
    <s v="D"/>
    <s v="Not Available"/>
    <s v="123-456-7890"/>
    <x v="3"/>
    <x v="2"/>
    <x v="0"/>
    <x v="0"/>
    <x v="0"/>
  </r>
  <r>
    <x v="0"/>
    <x v="4"/>
    <x v="4"/>
    <x v="1"/>
    <x v="1"/>
    <x v="0"/>
    <d v="2019-12-01T00:00:00"/>
    <s v="F"/>
    <s v="email@example.com"/>
    <s v="098-765-4321"/>
    <x v="3"/>
    <x v="1"/>
    <x v="0"/>
    <x v="0"/>
    <x v="0"/>
  </r>
  <r>
    <x v="7"/>
    <x v="1"/>
    <x v="5"/>
    <x v="0"/>
    <x v="1"/>
    <x v="0"/>
    <d v="2019-12-01T00:00:00"/>
    <s v="D"/>
    <s v="name@company.org"/>
    <s v="098-765-4321"/>
    <x v="3"/>
    <x v="2"/>
    <x v="0"/>
    <x v="0"/>
    <x v="0"/>
  </r>
  <r>
    <x v="6"/>
    <x v="1"/>
    <x v="2"/>
    <x v="1"/>
    <x v="0"/>
    <x v="4"/>
    <d v="2019-12-01T00:00:00"/>
    <s v="C"/>
    <s v="user@domain.com"/>
    <s v="Not Available"/>
    <x v="3"/>
    <x v="2"/>
    <x v="2"/>
    <x v="1"/>
    <x v="0"/>
  </r>
  <r>
    <x v="5"/>
    <x v="0"/>
    <x v="1"/>
    <x v="1"/>
    <x v="2"/>
    <x v="4"/>
    <d v="2019-12-01T00:00:00"/>
    <s v="D"/>
    <s v="name@company.org"/>
    <s v="555-555-5555"/>
    <x v="3"/>
    <x v="1"/>
    <x v="0"/>
    <x v="0"/>
    <x v="0"/>
  </r>
  <r>
    <x v="3"/>
    <x v="3"/>
    <x v="2"/>
    <x v="2"/>
    <x v="2"/>
    <x v="2"/>
    <d v="2019-12-01T00:00:00"/>
    <s v="F"/>
    <s v="name@company.org"/>
    <s v="123-456-7890"/>
    <x v="3"/>
    <x v="2"/>
    <x v="0"/>
    <x v="0"/>
    <x v="0"/>
  </r>
  <r>
    <x v="3"/>
    <x v="0"/>
    <x v="5"/>
    <x v="1"/>
    <x v="0"/>
    <x v="4"/>
    <d v="2019-12-01T00:00:00"/>
    <s v="D"/>
    <s v="user@domain.com"/>
    <s v="Not Available"/>
    <x v="3"/>
    <x v="2"/>
    <x v="0"/>
    <x v="0"/>
    <x v="0"/>
  </r>
  <r>
    <x v="8"/>
    <x v="0"/>
    <x v="5"/>
    <x v="0"/>
    <x v="1"/>
    <x v="0"/>
    <d v="2019-12-01T00:00:00"/>
    <s v="F"/>
    <s v="user@domain.com"/>
    <s v="123-456-7890"/>
    <x v="3"/>
    <x v="2"/>
    <x v="0"/>
    <x v="0"/>
    <x v="0"/>
  </r>
  <r>
    <x v="1"/>
    <x v="0"/>
    <x v="1"/>
    <x v="0"/>
    <x v="4"/>
    <x v="1"/>
    <d v="2019-12-01T00:00:00"/>
    <s v="F"/>
    <s v="Not Available"/>
    <s v="123-456-7890"/>
    <x v="3"/>
    <x v="1"/>
    <x v="0"/>
    <x v="0"/>
    <x v="0"/>
  </r>
  <r>
    <x v="7"/>
    <x v="0"/>
    <x v="1"/>
    <x v="0"/>
    <x v="4"/>
    <x v="4"/>
    <d v="2019-12-01T00:00:00"/>
    <s v="A"/>
    <s v="Not Available"/>
    <s v="098-765-4321"/>
    <x v="3"/>
    <x v="1"/>
    <x v="1"/>
    <x v="1"/>
    <x v="1"/>
  </r>
  <r>
    <x v="1"/>
    <x v="2"/>
    <x v="1"/>
    <x v="0"/>
    <x v="0"/>
    <x v="0"/>
    <d v="2019-12-01T00:00:00"/>
    <s v="A"/>
    <s v="email@example.com"/>
    <s v="123-456-7890"/>
    <x v="3"/>
    <x v="1"/>
    <x v="1"/>
    <x v="1"/>
    <x v="1"/>
  </r>
  <r>
    <x v="1"/>
    <x v="0"/>
    <x v="1"/>
    <x v="2"/>
    <x v="2"/>
    <x v="0"/>
    <d v="2019-12-01T00:00:00"/>
    <s v="F"/>
    <s v="Not Available"/>
    <s v="Not Available"/>
    <x v="3"/>
    <x v="1"/>
    <x v="0"/>
    <x v="0"/>
    <x v="0"/>
  </r>
  <r>
    <x v="0"/>
    <x v="3"/>
    <x v="0"/>
    <x v="0"/>
    <x v="2"/>
    <x v="0"/>
    <d v="2019-12-01T00:00:00"/>
    <s v="C"/>
    <s v="name@company.org"/>
    <s v="Not Available"/>
    <x v="3"/>
    <x v="0"/>
    <x v="2"/>
    <x v="1"/>
    <x v="0"/>
  </r>
  <r>
    <x v="2"/>
    <x v="1"/>
    <x v="3"/>
    <x v="2"/>
    <x v="0"/>
    <x v="3"/>
    <d v="2019-12-01T00:00:00"/>
    <s v="C"/>
    <s v="user@domain.com"/>
    <s v="555-555-5555"/>
    <x v="3"/>
    <x v="0"/>
    <x v="2"/>
    <x v="1"/>
    <x v="0"/>
  </r>
  <r>
    <x v="3"/>
    <x v="3"/>
    <x v="0"/>
    <x v="1"/>
    <x v="4"/>
    <x v="3"/>
    <d v="2019-12-01T00:00:00"/>
    <s v="B"/>
    <s v="user@domain.com"/>
    <s v="Not Available"/>
    <x v="3"/>
    <x v="0"/>
    <x v="2"/>
    <x v="1"/>
    <x v="0"/>
  </r>
  <r>
    <x v="4"/>
    <x v="0"/>
    <x v="3"/>
    <x v="2"/>
    <x v="1"/>
    <x v="4"/>
    <d v="2019-12-01T00:00:00"/>
    <s v="A"/>
    <s v="Not Available"/>
    <s v="123-456-7890"/>
    <x v="3"/>
    <x v="0"/>
    <x v="1"/>
    <x v="1"/>
    <x v="1"/>
  </r>
  <r>
    <x v="1"/>
    <x v="0"/>
    <x v="3"/>
    <x v="2"/>
    <x v="2"/>
    <x v="1"/>
    <d v="2019-12-01T00:00:00"/>
    <s v="B"/>
    <s v="name@company.org"/>
    <s v="Not Available"/>
    <x v="3"/>
    <x v="0"/>
    <x v="2"/>
    <x v="1"/>
    <x v="0"/>
  </r>
  <r>
    <x v="5"/>
    <x v="3"/>
    <x v="0"/>
    <x v="1"/>
    <x v="0"/>
    <x v="2"/>
    <d v="2019-12-01T00:00:00"/>
    <s v="D"/>
    <s v="user@domain.com"/>
    <s v="098-765-4321"/>
    <x v="3"/>
    <x v="0"/>
    <x v="0"/>
    <x v="0"/>
    <x v="0"/>
  </r>
  <r>
    <x v="5"/>
    <x v="0"/>
    <x v="2"/>
    <x v="0"/>
    <x v="4"/>
    <x v="4"/>
    <d v="2019-12-01T00:00:00"/>
    <s v="A"/>
    <s v="user@domain.com"/>
    <s v="123-456-7890"/>
    <x v="3"/>
    <x v="2"/>
    <x v="1"/>
    <x v="1"/>
    <x v="1"/>
  </r>
  <r>
    <x v="3"/>
    <x v="2"/>
    <x v="2"/>
    <x v="1"/>
    <x v="1"/>
    <x v="4"/>
    <d v="2019-12-01T00:00:00"/>
    <s v="F"/>
    <s v="email@example.com"/>
    <s v="Not Available"/>
    <x v="3"/>
    <x v="2"/>
    <x v="0"/>
    <x v="0"/>
    <x v="0"/>
  </r>
  <r>
    <x v="1"/>
    <x v="3"/>
    <x v="0"/>
    <x v="2"/>
    <x v="1"/>
    <x v="2"/>
    <d v="2019-12-01T00:00:00"/>
    <s v="F"/>
    <s v="email@example.com"/>
    <s v="123-456-7890"/>
    <x v="3"/>
    <x v="0"/>
    <x v="0"/>
    <x v="0"/>
    <x v="0"/>
  </r>
  <r>
    <x v="3"/>
    <x v="2"/>
    <x v="0"/>
    <x v="0"/>
    <x v="4"/>
    <x v="2"/>
    <d v="2019-12-01T00:00:00"/>
    <s v="C"/>
    <s v="email@example.com"/>
    <s v="123-456-7890"/>
    <x v="3"/>
    <x v="0"/>
    <x v="2"/>
    <x v="1"/>
    <x v="0"/>
  </r>
  <r>
    <x v="8"/>
    <x v="0"/>
    <x v="5"/>
    <x v="1"/>
    <x v="0"/>
    <x v="4"/>
    <d v="2019-12-01T00:00:00"/>
    <s v="D"/>
    <s v="name@company.org"/>
    <s v="555-555-5555"/>
    <x v="3"/>
    <x v="2"/>
    <x v="0"/>
    <x v="0"/>
    <x v="0"/>
  </r>
  <r>
    <x v="0"/>
    <x v="0"/>
    <x v="0"/>
    <x v="1"/>
    <x v="0"/>
    <x v="3"/>
    <d v="2019-12-01T00:00:00"/>
    <s v="F"/>
    <s v="user@domain.com"/>
    <s v="098-765-4321"/>
    <x v="3"/>
    <x v="0"/>
    <x v="0"/>
    <x v="0"/>
    <x v="0"/>
  </r>
  <r>
    <x v="9"/>
    <x v="3"/>
    <x v="1"/>
    <x v="1"/>
    <x v="2"/>
    <x v="4"/>
    <d v="2019-12-01T00:00:00"/>
    <s v="F"/>
    <s v="Not Available"/>
    <s v="Not Available"/>
    <x v="3"/>
    <x v="1"/>
    <x v="0"/>
    <x v="0"/>
    <x v="0"/>
  </r>
  <r>
    <x v="9"/>
    <x v="4"/>
    <x v="3"/>
    <x v="2"/>
    <x v="0"/>
    <x v="0"/>
    <d v="2019-12-01T00:00:00"/>
    <s v="B"/>
    <s v="name@company.org"/>
    <s v="123-456-7890"/>
    <x v="3"/>
    <x v="0"/>
    <x v="2"/>
    <x v="1"/>
    <x v="0"/>
  </r>
  <r>
    <x v="3"/>
    <x v="2"/>
    <x v="3"/>
    <x v="2"/>
    <x v="0"/>
    <x v="1"/>
    <d v="2019-12-01T00:00:00"/>
    <s v="B"/>
    <s v="email@example.com"/>
    <s v="Not Available"/>
    <x v="3"/>
    <x v="0"/>
    <x v="2"/>
    <x v="1"/>
    <x v="0"/>
  </r>
  <r>
    <x v="2"/>
    <x v="0"/>
    <x v="2"/>
    <x v="2"/>
    <x v="1"/>
    <x v="2"/>
    <d v="2019-12-01T00:00:00"/>
    <s v="C"/>
    <s v="Not Available"/>
    <s v="555-555-5555"/>
    <x v="3"/>
    <x v="2"/>
    <x v="2"/>
    <x v="1"/>
    <x v="0"/>
  </r>
  <r>
    <x v="2"/>
    <x v="2"/>
    <x v="0"/>
    <x v="2"/>
    <x v="0"/>
    <x v="0"/>
    <d v="2019-12-01T00:00:00"/>
    <s v="B"/>
    <s v="user@domain.com"/>
    <s v="Not Available"/>
    <x v="3"/>
    <x v="0"/>
    <x v="2"/>
    <x v="1"/>
    <x v="0"/>
  </r>
  <r>
    <x v="0"/>
    <x v="4"/>
    <x v="5"/>
    <x v="2"/>
    <x v="2"/>
    <x v="1"/>
    <d v="2019-12-01T00:00:00"/>
    <s v="B"/>
    <s v="Not Available"/>
    <s v="Not Available"/>
    <x v="3"/>
    <x v="2"/>
    <x v="2"/>
    <x v="1"/>
    <x v="0"/>
  </r>
  <r>
    <x v="6"/>
    <x v="1"/>
    <x v="3"/>
    <x v="2"/>
    <x v="4"/>
    <x v="1"/>
    <d v="2019-12-01T00:00:00"/>
    <s v="B"/>
    <s v="Not Available"/>
    <s v="098-765-4321"/>
    <x v="3"/>
    <x v="0"/>
    <x v="2"/>
    <x v="1"/>
    <x v="0"/>
  </r>
  <r>
    <x v="9"/>
    <x v="0"/>
    <x v="0"/>
    <x v="0"/>
    <x v="2"/>
    <x v="4"/>
    <d v="2019-12-01T00:00:00"/>
    <s v="D"/>
    <s v="name@company.org"/>
    <s v="Not Available"/>
    <x v="3"/>
    <x v="0"/>
    <x v="0"/>
    <x v="0"/>
    <x v="0"/>
  </r>
  <r>
    <x v="9"/>
    <x v="4"/>
    <x v="2"/>
    <x v="1"/>
    <x v="2"/>
    <x v="4"/>
    <d v="2019-12-01T00:00:00"/>
    <s v="C"/>
    <s v="Not Available"/>
    <s v="Not Available"/>
    <x v="3"/>
    <x v="2"/>
    <x v="2"/>
    <x v="1"/>
    <x v="0"/>
  </r>
  <r>
    <x v="4"/>
    <x v="2"/>
    <x v="3"/>
    <x v="1"/>
    <x v="2"/>
    <x v="1"/>
    <d v="2019-12-01T00:00:00"/>
    <s v="B"/>
    <s v="Not Available"/>
    <s v="555-555-5555"/>
    <x v="3"/>
    <x v="0"/>
    <x v="2"/>
    <x v="1"/>
    <x v="0"/>
  </r>
  <r>
    <x v="2"/>
    <x v="1"/>
    <x v="5"/>
    <x v="0"/>
    <x v="1"/>
    <x v="2"/>
    <d v="2019-12-01T00:00:00"/>
    <s v="F"/>
    <s v="Not Available"/>
    <s v="098-765-4321"/>
    <x v="3"/>
    <x v="2"/>
    <x v="0"/>
    <x v="0"/>
    <x v="0"/>
  </r>
  <r>
    <x v="2"/>
    <x v="0"/>
    <x v="0"/>
    <x v="1"/>
    <x v="1"/>
    <x v="0"/>
    <d v="2019-12-01T00:00:00"/>
    <s v="D"/>
    <s v="name@company.org"/>
    <s v="098-765-4321"/>
    <x v="3"/>
    <x v="0"/>
    <x v="0"/>
    <x v="0"/>
    <x v="0"/>
  </r>
  <r>
    <x v="0"/>
    <x v="1"/>
    <x v="4"/>
    <x v="2"/>
    <x v="3"/>
    <x v="1"/>
    <d v="2019-12-01T00:00:00"/>
    <s v="F"/>
    <s v="Not Available"/>
    <s v="555-555-5555"/>
    <x v="3"/>
    <x v="1"/>
    <x v="0"/>
    <x v="0"/>
    <x v="0"/>
  </r>
  <r>
    <x v="5"/>
    <x v="4"/>
    <x v="0"/>
    <x v="1"/>
    <x v="0"/>
    <x v="2"/>
    <d v="2019-12-01T00:00:00"/>
    <s v="A"/>
    <s v="Not Available"/>
    <s v="555-555-5555"/>
    <x v="3"/>
    <x v="0"/>
    <x v="1"/>
    <x v="1"/>
    <x v="1"/>
  </r>
  <r>
    <x v="1"/>
    <x v="2"/>
    <x v="4"/>
    <x v="2"/>
    <x v="4"/>
    <x v="2"/>
    <d v="2019-12-01T00:00:00"/>
    <s v="A"/>
    <s v="Not Available"/>
    <s v="098-765-4321"/>
    <x v="3"/>
    <x v="1"/>
    <x v="1"/>
    <x v="1"/>
    <x v="1"/>
  </r>
  <r>
    <x v="4"/>
    <x v="0"/>
    <x v="3"/>
    <x v="0"/>
    <x v="1"/>
    <x v="1"/>
    <d v="2019-12-01T00:00:00"/>
    <s v="D"/>
    <s v="user@domain.com"/>
    <s v="555-555-5555"/>
    <x v="3"/>
    <x v="0"/>
    <x v="0"/>
    <x v="0"/>
    <x v="0"/>
  </r>
  <r>
    <x v="4"/>
    <x v="0"/>
    <x v="3"/>
    <x v="2"/>
    <x v="0"/>
    <x v="1"/>
    <d v="2019-12-01T00:00:00"/>
    <s v="F"/>
    <s v="user@domain.com"/>
    <s v="123-456-7890"/>
    <x v="3"/>
    <x v="0"/>
    <x v="0"/>
    <x v="0"/>
    <x v="0"/>
  </r>
  <r>
    <x v="2"/>
    <x v="2"/>
    <x v="5"/>
    <x v="2"/>
    <x v="3"/>
    <x v="3"/>
    <d v="2019-12-01T00:00:00"/>
    <s v="B"/>
    <s v="Not Available"/>
    <s v="Not Available"/>
    <x v="3"/>
    <x v="2"/>
    <x v="2"/>
    <x v="1"/>
    <x v="0"/>
  </r>
  <r>
    <x v="9"/>
    <x v="0"/>
    <x v="0"/>
    <x v="0"/>
    <x v="3"/>
    <x v="4"/>
    <d v="2019-12-01T00:00:00"/>
    <s v="A"/>
    <s v="email@example.com"/>
    <s v="Not Available"/>
    <x v="3"/>
    <x v="0"/>
    <x v="1"/>
    <x v="1"/>
    <x v="1"/>
  </r>
  <r>
    <x v="7"/>
    <x v="0"/>
    <x v="4"/>
    <x v="2"/>
    <x v="1"/>
    <x v="2"/>
    <d v="2019-12-01T00:00:00"/>
    <s v="F"/>
    <s v="name@company.org"/>
    <s v="Not Available"/>
    <x v="3"/>
    <x v="1"/>
    <x v="0"/>
    <x v="0"/>
    <x v="0"/>
  </r>
  <r>
    <x v="3"/>
    <x v="4"/>
    <x v="4"/>
    <x v="1"/>
    <x v="2"/>
    <x v="0"/>
    <d v="2019-12-01T00:00:00"/>
    <s v="A"/>
    <s v="user@domain.com"/>
    <s v="555-555-5555"/>
    <x v="3"/>
    <x v="1"/>
    <x v="1"/>
    <x v="1"/>
    <x v="1"/>
  </r>
  <r>
    <x v="6"/>
    <x v="0"/>
    <x v="2"/>
    <x v="1"/>
    <x v="3"/>
    <x v="3"/>
    <d v="2019-12-01T00:00:00"/>
    <s v="C"/>
    <s v="Not Available"/>
    <s v="Not Available"/>
    <x v="3"/>
    <x v="2"/>
    <x v="2"/>
    <x v="1"/>
    <x v="0"/>
  </r>
  <r>
    <x v="2"/>
    <x v="4"/>
    <x v="1"/>
    <x v="2"/>
    <x v="3"/>
    <x v="3"/>
    <d v="2019-12-01T00:00:00"/>
    <s v="C"/>
    <s v="email@example.com"/>
    <s v="Not Available"/>
    <x v="3"/>
    <x v="1"/>
    <x v="2"/>
    <x v="1"/>
    <x v="0"/>
  </r>
  <r>
    <x v="2"/>
    <x v="1"/>
    <x v="0"/>
    <x v="0"/>
    <x v="3"/>
    <x v="3"/>
    <d v="2019-12-01T00:00:00"/>
    <s v="C"/>
    <s v="email@example.com"/>
    <s v="Not Available"/>
    <x v="3"/>
    <x v="0"/>
    <x v="2"/>
    <x v="1"/>
    <x v="0"/>
  </r>
  <r>
    <x v="4"/>
    <x v="0"/>
    <x v="5"/>
    <x v="1"/>
    <x v="2"/>
    <x v="2"/>
    <d v="2019-12-01T00:00:00"/>
    <s v="C"/>
    <s v="email@example.com"/>
    <s v="Not Available"/>
    <x v="3"/>
    <x v="2"/>
    <x v="2"/>
    <x v="1"/>
    <x v="0"/>
  </r>
  <r>
    <x v="1"/>
    <x v="0"/>
    <x v="5"/>
    <x v="1"/>
    <x v="0"/>
    <x v="4"/>
    <d v="2019-12-01T00:00:00"/>
    <s v="D"/>
    <s v="name@company.org"/>
    <s v="Not Available"/>
    <x v="3"/>
    <x v="2"/>
    <x v="0"/>
    <x v="0"/>
    <x v="0"/>
  </r>
  <r>
    <x v="5"/>
    <x v="1"/>
    <x v="1"/>
    <x v="1"/>
    <x v="0"/>
    <x v="2"/>
    <d v="2019-12-01T00:00:00"/>
    <s v="F"/>
    <s v="user@domain.com"/>
    <s v="555-555-5555"/>
    <x v="3"/>
    <x v="1"/>
    <x v="0"/>
    <x v="0"/>
    <x v="0"/>
  </r>
  <r>
    <x v="5"/>
    <x v="0"/>
    <x v="1"/>
    <x v="1"/>
    <x v="2"/>
    <x v="3"/>
    <d v="2019-12-01T00:00:00"/>
    <s v="C"/>
    <s v="Not Available"/>
    <s v="Not Available"/>
    <x v="3"/>
    <x v="1"/>
    <x v="2"/>
    <x v="1"/>
    <x v="0"/>
  </r>
  <r>
    <x v="9"/>
    <x v="0"/>
    <x v="3"/>
    <x v="2"/>
    <x v="3"/>
    <x v="3"/>
    <d v="2019-12-01T00:00:00"/>
    <s v="D"/>
    <s v="Not Available"/>
    <s v="Not Available"/>
    <x v="3"/>
    <x v="0"/>
    <x v="0"/>
    <x v="0"/>
    <x v="0"/>
  </r>
  <r>
    <x v="8"/>
    <x v="1"/>
    <x v="1"/>
    <x v="0"/>
    <x v="0"/>
    <x v="2"/>
    <d v="2019-12-01T00:00:00"/>
    <s v="F"/>
    <s v="name@company.org"/>
    <s v="098-765-4321"/>
    <x v="3"/>
    <x v="1"/>
    <x v="0"/>
    <x v="0"/>
    <x v="0"/>
  </r>
  <r>
    <x v="7"/>
    <x v="4"/>
    <x v="2"/>
    <x v="1"/>
    <x v="3"/>
    <x v="2"/>
    <d v="2019-12-01T00:00:00"/>
    <s v="A"/>
    <s v="email@example.com"/>
    <s v="123-456-7890"/>
    <x v="3"/>
    <x v="2"/>
    <x v="1"/>
    <x v="1"/>
    <x v="1"/>
  </r>
  <r>
    <x v="7"/>
    <x v="0"/>
    <x v="3"/>
    <x v="0"/>
    <x v="3"/>
    <x v="3"/>
    <d v="2019-12-01T00:00:00"/>
    <s v="B"/>
    <s v="email@example.com"/>
    <s v="Not Available"/>
    <x v="3"/>
    <x v="0"/>
    <x v="2"/>
    <x v="1"/>
    <x v="0"/>
  </r>
  <r>
    <x v="3"/>
    <x v="0"/>
    <x v="1"/>
    <x v="2"/>
    <x v="2"/>
    <x v="1"/>
    <d v="2019-12-01T00:00:00"/>
    <s v="C"/>
    <s v="email@example.com"/>
    <s v="555-555-5555"/>
    <x v="3"/>
    <x v="1"/>
    <x v="2"/>
    <x v="1"/>
    <x v="0"/>
  </r>
  <r>
    <x v="1"/>
    <x v="0"/>
    <x v="1"/>
    <x v="2"/>
    <x v="0"/>
    <x v="1"/>
    <d v="2019-12-01T00:00:00"/>
    <s v="C"/>
    <s v="Not Available"/>
    <s v="123-456-7890"/>
    <x v="3"/>
    <x v="1"/>
    <x v="2"/>
    <x v="1"/>
    <x v="0"/>
  </r>
  <r>
    <x v="0"/>
    <x v="0"/>
    <x v="4"/>
    <x v="0"/>
    <x v="1"/>
    <x v="2"/>
    <d v="2019-12-01T00:00:00"/>
    <s v="C"/>
    <s v="Not Available"/>
    <s v="123-456-7890"/>
    <x v="3"/>
    <x v="1"/>
    <x v="2"/>
    <x v="1"/>
    <x v="0"/>
  </r>
  <r>
    <x v="1"/>
    <x v="1"/>
    <x v="1"/>
    <x v="1"/>
    <x v="0"/>
    <x v="1"/>
    <d v="2019-12-01T00:00:00"/>
    <s v="B"/>
    <s v="email@example.com"/>
    <s v="Not Available"/>
    <x v="3"/>
    <x v="1"/>
    <x v="2"/>
    <x v="1"/>
    <x v="0"/>
  </r>
  <r>
    <x v="0"/>
    <x v="1"/>
    <x v="0"/>
    <x v="0"/>
    <x v="1"/>
    <x v="3"/>
    <d v="2019-12-01T00:00:00"/>
    <s v="A"/>
    <s v="user@domain.com"/>
    <s v="Not Available"/>
    <x v="3"/>
    <x v="0"/>
    <x v="1"/>
    <x v="1"/>
    <x v="1"/>
  </r>
  <r>
    <x v="1"/>
    <x v="0"/>
    <x v="3"/>
    <x v="1"/>
    <x v="3"/>
    <x v="4"/>
    <d v="2019-12-01T00:00:00"/>
    <s v="D"/>
    <s v="Not Available"/>
    <s v="098-765-4321"/>
    <x v="3"/>
    <x v="0"/>
    <x v="0"/>
    <x v="0"/>
    <x v="0"/>
  </r>
  <r>
    <x v="7"/>
    <x v="0"/>
    <x v="1"/>
    <x v="2"/>
    <x v="3"/>
    <x v="1"/>
    <d v="2019-12-01T00:00:00"/>
    <s v="D"/>
    <s v="email@example.com"/>
    <s v="098-765-4321"/>
    <x v="3"/>
    <x v="1"/>
    <x v="0"/>
    <x v="0"/>
    <x v="0"/>
  </r>
  <r>
    <x v="9"/>
    <x v="0"/>
    <x v="3"/>
    <x v="1"/>
    <x v="0"/>
    <x v="3"/>
    <d v="2019-12-01T00:00:00"/>
    <s v="D"/>
    <s v="name@company.org"/>
    <s v="123-456-7890"/>
    <x v="3"/>
    <x v="0"/>
    <x v="0"/>
    <x v="0"/>
    <x v="0"/>
  </r>
  <r>
    <x v="2"/>
    <x v="4"/>
    <x v="2"/>
    <x v="1"/>
    <x v="0"/>
    <x v="2"/>
    <d v="2019-12-01T00:00:00"/>
    <s v="A"/>
    <s v="Not Available"/>
    <s v="555-555-5555"/>
    <x v="3"/>
    <x v="2"/>
    <x v="1"/>
    <x v="1"/>
    <x v="1"/>
  </r>
  <r>
    <x v="9"/>
    <x v="0"/>
    <x v="5"/>
    <x v="0"/>
    <x v="4"/>
    <x v="1"/>
    <d v="2019-12-01T00:00:00"/>
    <s v="B"/>
    <s v="Not Available"/>
    <s v="Not Available"/>
    <x v="3"/>
    <x v="2"/>
    <x v="2"/>
    <x v="1"/>
    <x v="0"/>
  </r>
  <r>
    <x v="5"/>
    <x v="0"/>
    <x v="5"/>
    <x v="0"/>
    <x v="0"/>
    <x v="2"/>
    <d v="2019-12-01T00:00:00"/>
    <s v="D"/>
    <s v="user@domain.com"/>
    <s v="555-555-5555"/>
    <x v="3"/>
    <x v="2"/>
    <x v="0"/>
    <x v="0"/>
    <x v="0"/>
  </r>
  <r>
    <x v="7"/>
    <x v="4"/>
    <x v="2"/>
    <x v="0"/>
    <x v="0"/>
    <x v="1"/>
    <d v="2019-12-01T00:00:00"/>
    <s v="D"/>
    <s v="Not Available"/>
    <s v="Not Available"/>
    <x v="3"/>
    <x v="2"/>
    <x v="0"/>
    <x v="0"/>
    <x v="0"/>
  </r>
  <r>
    <x v="6"/>
    <x v="0"/>
    <x v="0"/>
    <x v="1"/>
    <x v="2"/>
    <x v="4"/>
    <d v="2019-12-01T00:00:00"/>
    <s v="B"/>
    <s v="Not Available"/>
    <s v="555-555-5555"/>
    <x v="3"/>
    <x v="0"/>
    <x v="2"/>
    <x v="1"/>
    <x v="0"/>
  </r>
  <r>
    <x v="9"/>
    <x v="2"/>
    <x v="3"/>
    <x v="2"/>
    <x v="2"/>
    <x v="0"/>
    <d v="2019-12-01T00:00:00"/>
    <s v="C"/>
    <s v="Not Available"/>
    <s v="Not Available"/>
    <x v="3"/>
    <x v="0"/>
    <x v="2"/>
    <x v="1"/>
    <x v="0"/>
  </r>
  <r>
    <x v="6"/>
    <x v="2"/>
    <x v="3"/>
    <x v="0"/>
    <x v="4"/>
    <x v="1"/>
    <d v="2019-12-01T00:00:00"/>
    <s v="C"/>
    <s v="Not Available"/>
    <s v="Not Available"/>
    <x v="3"/>
    <x v="0"/>
    <x v="2"/>
    <x v="1"/>
    <x v="0"/>
  </r>
  <r>
    <x v="6"/>
    <x v="4"/>
    <x v="3"/>
    <x v="1"/>
    <x v="0"/>
    <x v="3"/>
    <d v="2019-12-01T00:00:00"/>
    <s v="B"/>
    <s v="email@example.com"/>
    <s v="Not Available"/>
    <x v="3"/>
    <x v="0"/>
    <x v="2"/>
    <x v="1"/>
    <x v="0"/>
  </r>
  <r>
    <x v="4"/>
    <x v="4"/>
    <x v="5"/>
    <x v="0"/>
    <x v="4"/>
    <x v="0"/>
    <d v="2019-12-01T00:00:00"/>
    <s v="B"/>
    <s v="Not Available"/>
    <s v="123-456-7890"/>
    <x v="3"/>
    <x v="2"/>
    <x v="2"/>
    <x v="1"/>
    <x v="0"/>
  </r>
  <r>
    <x v="6"/>
    <x v="3"/>
    <x v="1"/>
    <x v="0"/>
    <x v="3"/>
    <x v="1"/>
    <d v="2019-12-01T00:00:00"/>
    <s v="F"/>
    <s v="Not Available"/>
    <s v="123-456-7890"/>
    <x v="3"/>
    <x v="1"/>
    <x v="0"/>
    <x v="0"/>
    <x v="0"/>
  </r>
  <r>
    <x v="8"/>
    <x v="0"/>
    <x v="2"/>
    <x v="0"/>
    <x v="3"/>
    <x v="1"/>
    <d v="2019-12-01T00:00:00"/>
    <s v="F"/>
    <s v="name@company.org"/>
    <s v="Not Available"/>
    <x v="3"/>
    <x v="2"/>
    <x v="0"/>
    <x v="0"/>
    <x v="0"/>
  </r>
  <r>
    <x v="4"/>
    <x v="3"/>
    <x v="1"/>
    <x v="2"/>
    <x v="2"/>
    <x v="4"/>
    <d v="2019-12-01T00:00:00"/>
    <s v="D"/>
    <s v="user@domain.com"/>
    <s v="Not Available"/>
    <x v="3"/>
    <x v="1"/>
    <x v="0"/>
    <x v="0"/>
    <x v="0"/>
  </r>
  <r>
    <x v="0"/>
    <x v="1"/>
    <x v="1"/>
    <x v="0"/>
    <x v="1"/>
    <x v="0"/>
    <d v="2019-12-01T00:00:00"/>
    <s v="B"/>
    <s v="email@example.com"/>
    <s v="123-456-7890"/>
    <x v="3"/>
    <x v="1"/>
    <x v="2"/>
    <x v="1"/>
    <x v="0"/>
  </r>
  <r>
    <x v="5"/>
    <x v="0"/>
    <x v="1"/>
    <x v="0"/>
    <x v="2"/>
    <x v="1"/>
    <d v="2019-12-01T00:00:00"/>
    <s v="B"/>
    <s v="user@domain.com"/>
    <s v="Not Available"/>
    <x v="3"/>
    <x v="1"/>
    <x v="2"/>
    <x v="1"/>
    <x v="0"/>
  </r>
  <r>
    <x v="2"/>
    <x v="1"/>
    <x v="0"/>
    <x v="0"/>
    <x v="4"/>
    <x v="1"/>
    <d v="2019-12-01T00:00:00"/>
    <s v="B"/>
    <s v="name@company.org"/>
    <s v="555-555-5555"/>
    <x v="3"/>
    <x v="0"/>
    <x v="2"/>
    <x v="1"/>
    <x v="0"/>
  </r>
  <r>
    <x v="2"/>
    <x v="4"/>
    <x v="1"/>
    <x v="0"/>
    <x v="1"/>
    <x v="4"/>
    <d v="2019-12-01T00:00:00"/>
    <s v="A"/>
    <s v="email@example.com"/>
    <s v="098-765-4321"/>
    <x v="3"/>
    <x v="1"/>
    <x v="1"/>
    <x v="1"/>
    <x v="1"/>
  </r>
  <r>
    <x v="1"/>
    <x v="3"/>
    <x v="5"/>
    <x v="2"/>
    <x v="1"/>
    <x v="4"/>
    <d v="2019-12-01T00:00:00"/>
    <s v="F"/>
    <s v="name@company.org"/>
    <s v="Not Available"/>
    <x v="3"/>
    <x v="2"/>
    <x v="0"/>
    <x v="0"/>
    <x v="0"/>
  </r>
  <r>
    <x v="1"/>
    <x v="2"/>
    <x v="5"/>
    <x v="0"/>
    <x v="0"/>
    <x v="1"/>
    <d v="2019-12-01T00:00:00"/>
    <s v="D"/>
    <s v="Not Available"/>
    <s v="098-765-4321"/>
    <x v="3"/>
    <x v="2"/>
    <x v="0"/>
    <x v="0"/>
    <x v="0"/>
  </r>
  <r>
    <x v="8"/>
    <x v="1"/>
    <x v="5"/>
    <x v="2"/>
    <x v="1"/>
    <x v="4"/>
    <d v="2019-12-01T00:00:00"/>
    <s v="D"/>
    <s v="Not Available"/>
    <s v="555-555-5555"/>
    <x v="3"/>
    <x v="2"/>
    <x v="0"/>
    <x v="0"/>
    <x v="0"/>
  </r>
  <r>
    <x v="9"/>
    <x v="3"/>
    <x v="4"/>
    <x v="2"/>
    <x v="3"/>
    <x v="0"/>
    <d v="2019-12-01T00:00:00"/>
    <s v="B"/>
    <s v="email@example.com"/>
    <s v="123-456-7890"/>
    <x v="3"/>
    <x v="1"/>
    <x v="2"/>
    <x v="1"/>
    <x v="0"/>
  </r>
  <r>
    <x v="1"/>
    <x v="1"/>
    <x v="4"/>
    <x v="1"/>
    <x v="2"/>
    <x v="1"/>
    <d v="2019-12-01T00:00:00"/>
    <s v="D"/>
    <s v="Not Available"/>
    <s v="Not Available"/>
    <x v="3"/>
    <x v="1"/>
    <x v="0"/>
    <x v="0"/>
    <x v="0"/>
  </r>
  <r>
    <x v="9"/>
    <x v="1"/>
    <x v="3"/>
    <x v="0"/>
    <x v="2"/>
    <x v="4"/>
    <d v="2019-12-01T00:00:00"/>
    <s v="A"/>
    <s v="email@example.com"/>
    <s v="555-555-5555"/>
    <x v="3"/>
    <x v="0"/>
    <x v="1"/>
    <x v="1"/>
    <x v="1"/>
  </r>
  <r>
    <x v="8"/>
    <x v="3"/>
    <x v="2"/>
    <x v="2"/>
    <x v="2"/>
    <x v="1"/>
    <d v="2019-12-01T00:00:00"/>
    <s v="C"/>
    <s v="email@example.com"/>
    <s v="123-456-7890"/>
    <x v="3"/>
    <x v="2"/>
    <x v="2"/>
    <x v="1"/>
    <x v="0"/>
  </r>
  <r>
    <x v="7"/>
    <x v="0"/>
    <x v="3"/>
    <x v="1"/>
    <x v="3"/>
    <x v="1"/>
    <d v="2019-12-01T00:00:00"/>
    <s v="C"/>
    <s v="user@domain.com"/>
    <s v="Not Available"/>
    <x v="3"/>
    <x v="0"/>
    <x v="2"/>
    <x v="1"/>
    <x v="0"/>
  </r>
  <r>
    <x v="2"/>
    <x v="3"/>
    <x v="1"/>
    <x v="1"/>
    <x v="0"/>
    <x v="1"/>
    <d v="2019-12-01T00:00:00"/>
    <s v="A"/>
    <s v="user@domain.com"/>
    <s v="Not Available"/>
    <x v="3"/>
    <x v="1"/>
    <x v="1"/>
    <x v="1"/>
    <x v="1"/>
  </r>
  <r>
    <x v="2"/>
    <x v="1"/>
    <x v="4"/>
    <x v="2"/>
    <x v="3"/>
    <x v="0"/>
    <d v="2019-12-01T00:00:00"/>
    <s v="B"/>
    <s v="Not Available"/>
    <s v="555-555-5555"/>
    <x v="3"/>
    <x v="1"/>
    <x v="2"/>
    <x v="1"/>
    <x v="0"/>
  </r>
  <r>
    <x v="8"/>
    <x v="0"/>
    <x v="3"/>
    <x v="0"/>
    <x v="1"/>
    <x v="1"/>
    <d v="2019-12-01T00:00:00"/>
    <s v="C"/>
    <s v="user@domain.com"/>
    <s v="Not Available"/>
    <x v="3"/>
    <x v="0"/>
    <x v="2"/>
    <x v="1"/>
    <x v="0"/>
  </r>
  <r>
    <x v="9"/>
    <x v="3"/>
    <x v="3"/>
    <x v="1"/>
    <x v="0"/>
    <x v="3"/>
    <d v="2019-12-01T00:00:00"/>
    <s v="F"/>
    <s v="email@example.com"/>
    <s v="Not Available"/>
    <x v="3"/>
    <x v="0"/>
    <x v="0"/>
    <x v="0"/>
    <x v="0"/>
  </r>
  <r>
    <x v="0"/>
    <x v="4"/>
    <x v="0"/>
    <x v="0"/>
    <x v="0"/>
    <x v="2"/>
    <d v="2019-12-01T00:00:00"/>
    <s v="B"/>
    <s v="user@domain.com"/>
    <s v="555-555-5555"/>
    <x v="3"/>
    <x v="0"/>
    <x v="2"/>
    <x v="1"/>
    <x v="0"/>
  </r>
  <r>
    <x v="5"/>
    <x v="0"/>
    <x v="0"/>
    <x v="1"/>
    <x v="3"/>
    <x v="0"/>
    <d v="2019-12-01T00:00:00"/>
    <s v="D"/>
    <s v="name@company.org"/>
    <s v="098-765-4321"/>
    <x v="3"/>
    <x v="0"/>
    <x v="0"/>
    <x v="0"/>
    <x v="0"/>
  </r>
  <r>
    <x v="0"/>
    <x v="3"/>
    <x v="2"/>
    <x v="2"/>
    <x v="2"/>
    <x v="2"/>
    <d v="2019-12-01T00:00:00"/>
    <s v="D"/>
    <s v="Not Available"/>
    <s v="555-555-5555"/>
    <x v="3"/>
    <x v="2"/>
    <x v="0"/>
    <x v="0"/>
    <x v="0"/>
  </r>
  <r>
    <x v="8"/>
    <x v="1"/>
    <x v="4"/>
    <x v="0"/>
    <x v="1"/>
    <x v="1"/>
    <d v="2019-12-01T00:00:00"/>
    <s v="B"/>
    <s v="Not Available"/>
    <s v="Not Available"/>
    <x v="3"/>
    <x v="1"/>
    <x v="2"/>
    <x v="1"/>
    <x v="0"/>
  </r>
  <r>
    <x v="5"/>
    <x v="0"/>
    <x v="1"/>
    <x v="0"/>
    <x v="3"/>
    <x v="0"/>
    <d v="2019-12-01T00:00:00"/>
    <s v="D"/>
    <s v="user@domain.com"/>
    <s v="Not Available"/>
    <x v="3"/>
    <x v="1"/>
    <x v="0"/>
    <x v="0"/>
    <x v="0"/>
  </r>
  <r>
    <x v="9"/>
    <x v="3"/>
    <x v="0"/>
    <x v="2"/>
    <x v="2"/>
    <x v="2"/>
    <d v="2019-12-01T00:00:00"/>
    <s v="A"/>
    <s v="name@company.org"/>
    <s v="Not Available"/>
    <x v="3"/>
    <x v="0"/>
    <x v="1"/>
    <x v="1"/>
    <x v="1"/>
  </r>
  <r>
    <x v="1"/>
    <x v="4"/>
    <x v="2"/>
    <x v="1"/>
    <x v="2"/>
    <x v="3"/>
    <d v="2019-12-01T00:00:00"/>
    <s v="C"/>
    <s v="email@example.com"/>
    <s v="123-456-7890"/>
    <x v="3"/>
    <x v="2"/>
    <x v="2"/>
    <x v="1"/>
    <x v="0"/>
  </r>
  <r>
    <x v="8"/>
    <x v="0"/>
    <x v="5"/>
    <x v="2"/>
    <x v="0"/>
    <x v="2"/>
    <d v="2019-12-01T00:00:00"/>
    <s v="D"/>
    <s v="user@domain.com"/>
    <s v="Not Available"/>
    <x v="3"/>
    <x v="2"/>
    <x v="0"/>
    <x v="0"/>
    <x v="0"/>
  </r>
  <r>
    <x v="7"/>
    <x v="1"/>
    <x v="0"/>
    <x v="0"/>
    <x v="2"/>
    <x v="2"/>
    <d v="2019-12-01T00:00:00"/>
    <s v="B"/>
    <s v="email@example.com"/>
    <s v="555-555-5555"/>
    <x v="3"/>
    <x v="0"/>
    <x v="2"/>
    <x v="1"/>
    <x v="0"/>
  </r>
  <r>
    <x v="6"/>
    <x v="3"/>
    <x v="1"/>
    <x v="0"/>
    <x v="3"/>
    <x v="4"/>
    <d v="2019-12-01T00:00:00"/>
    <s v="A"/>
    <s v="name@company.org"/>
    <s v="555-555-5555"/>
    <x v="3"/>
    <x v="1"/>
    <x v="1"/>
    <x v="1"/>
    <x v="1"/>
  </r>
  <r>
    <x v="3"/>
    <x v="4"/>
    <x v="2"/>
    <x v="0"/>
    <x v="1"/>
    <x v="4"/>
    <d v="2019-12-01T00:00:00"/>
    <s v="C"/>
    <s v="Not Available"/>
    <s v="555-555-5555"/>
    <x v="3"/>
    <x v="2"/>
    <x v="2"/>
    <x v="1"/>
    <x v="0"/>
  </r>
  <r>
    <x v="0"/>
    <x v="0"/>
    <x v="1"/>
    <x v="0"/>
    <x v="0"/>
    <x v="3"/>
    <d v="2019-12-01T00:00:00"/>
    <s v="C"/>
    <s v="name@company.org"/>
    <s v="123-456-7890"/>
    <x v="3"/>
    <x v="1"/>
    <x v="2"/>
    <x v="1"/>
    <x v="0"/>
  </r>
  <r>
    <x v="0"/>
    <x v="0"/>
    <x v="3"/>
    <x v="1"/>
    <x v="4"/>
    <x v="1"/>
    <d v="2019-12-01T00:00:00"/>
    <s v="B"/>
    <s v="Not Available"/>
    <s v="Not Available"/>
    <x v="3"/>
    <x v="0"/>
    <x v="2"/>
    <x v="1"/>
    <x v="0"/>
  </r>
  <r>
    <x v="9"/>
    <x v="4"/>
    <x v="4"/>
    <x v="1"/>
    <x v="0"/>
    <x v="1"/>
    <d v="2019-12-01T00:00:00"/>
    <s v="B"/>
    <s v="Not Available"/>
    <s v="555-555-5555"/>
    <x v="3"/>
    <x v="1"/>
    <x v="2"/>
    <x v="1"/>
    <x v="0"/>
  </r>
  <r>
    <x v="4"/>
    <x v="3"/>
    <x v="5"/>
    <x v="0"/>
    <x v="2"/>
    <x v="3"/>
    <d v="2019-12-01T00:00:00"/>
    <s v="B"/>
    <s v="name@company.org"/>
    <s v="555-555-5555"/>
    <x v="3"/>
    <x v="2"/>
    <x v="2"/>
    <x v="1"/>
    <x v="0"/>
  </r>
  <r>
    <x v="1"/>
    <x v="2"/>
    <x v="1"/>
    <x v="2"/>
    <x v="4"/>
    <x v="3"/>
    <d v="2019-12-01T00:00:00"/>
    <s v="C"/>
    <s v="Not Available"/>
    <s v="555-555-5555"/>
    <x v="3"/>
    <x v="1"/>
    <x v="2"/>
    <x v="1"/>
    <x v="0"/>
  </r>
  <r>
    <x v="7"/>
    <x v="0"/>
    <x v="3"/>
    <x v="1"/>
    <x v="0"/>
    <x v="0"/>
    <d v="2019-12-01T00:00:00"/>
    <s v="F"/>
    <s v="Not Available"/>
    <s v="Not Available"/>
    <x v="3"/>
    <x v="0"/>
    <x v="0"/>
    <x v="0"/>
    <x v="0"/>
  </r>
  <r>
    <x v="4"/>
    <x v="4"/>
    <x v="0"/>
    <x v="0"/>
    <x v="3"/>
    <x v="0"/>
    <d v="2019-12-01T00:00:00"/>
    <s v="B"/>
    <s v="email@example.com"/>
    <s v="098-765-4321"/>
    <x v="3"/>
    <x v="0"/>
    <x v="2"/>
    <x v="1"/>
    <x v="0"/>
  </r>
  <r>
    <x v="9"/>
    <x v="0"/>
    <x v="4"/>
    <x v="2"/>
    <x v="1"/>
    <x v="3"/>
    <d v="2019-12-01T00:00:00"/>
    <s v="C"/>
    <s v="user@domain.com"/>
    <s v="123-456-7890"/>
    <x v="3"/>
    <x v="1"/>
    <x v="2"/>
    <x v="1"/>
    <x v="0"/>
  </r>
  <r>
    <x v="7"/>
    <x v="3"/>
    <x v="3"/>
    <x v="1"/>
    <x v="3"/>
    <x v="0"/>
    <d v="2019-12-01T00:00:00"/>
    <s v="B"/>
    <s v="Not Available"/>
    <s v="098-765-4321"/>
    <x v="3"/>
    <x v="0"/>
    <x v="2"/>
    <x v="1"/>
    <x v="0"/>
  </r>
  <r>
    <x v="5"/>
    <x v="2"/>
    <x v="3"/>
    <x v="1"/>
    <x v="2"/>
    <x v="3"/>
    <d v="2019-12-01T00:00:00"/>
    <s v="C"/>
    <s v="email@example.com"/>
    <s v="098-765-4321"/>
    <x v="3"/>
    <x v="0"/>
    <x v="2"/>
    <x v="1"/>
    <x v="0"/>
  </r>
  <r>
    <x v="1"/>
    <x v="0"/>
    <x v="5"/>
    <x v="2"/>
    <x v="3"/>
    <x v="1"/>
    <d v="2019-12-01T00:00:00"/>
    <s v="C"/>
    <s v="Not Available"/>
    <s v="Not Available"/>
    <x v="3"/>
    <x v="2"/>
    <x v="2"/>
    <x v="1"/>
    <x v="0"/>
  </r>
  <r>
    <x v="5"/>
    <x v="0"/>
    <x v="1"/>
    <x v="0"/>
    <x v="1"/>
    <x v="0"/>
    <d v="2019-12-01T00:00:00"/>
    <s v="C"/>
    <s v="name@company.org"/>
    <s v="Not Available"/>
    <x v="3"/>
    <x v="1"/>
    <x v="2"/>
    <x v="1"/>
    <x v="0"/>
  </r>
  <r>
    <x v="3"/>
    <x v="0"/>
    <x v="0"/>
    <x v="0"/>
    <x v="2"/>
    <x v="3"/>
    <d v="2019-12-01T00:00:00"/>
    <s v="C"/>
    <s v="email@example.com"/>
    <s v="098-765-4321"/>
    <x v="3"/>
    <x v="0"/>
    <x v="2"/>
    <x v="1"/>
    <x v="0"/>
  </r>
  <r>
    <x v="5"/>
    <x v="2"/>
    <x v="1"/>
    <x v="2"/>
    <x v="3"/>
    <x v="2"/>
    <d v="2019-12-01T00:00:00"/>
    <s v="A"/>
    <s v="user@domain.com"/>
    <s v="098-765-4321"/>
    <x v="3"/>
    <x v="1"/>
    <x v="1"/>
    <x v="1"/>
    <x v="1"/>
  </r>
  <r>
    <x v="4"/>
    <x v="0"/>
    <x v="4"/>
    <x v="1"/>
    <x v="2"/>
    <x v="4"/>
    <d v="2019-12-01T00:00:00"/>
    <s v="C"/>
    <s v="Not Available"/>
    <s v="123-456-7890"/>
    <x v="3"/>
    <x v="1"/>
    <x v="2"/>
    <x v="1"/>
    <x v="0"/>
  </r>
  <r>
    <x v="2"/>
    <x v="2"/>
    <x v="5"/>
    <x v="0"/>
    <x v="2"/>
    <x v="4"/>
    <d v="2019-12-01T00:00:00"/>
    <s v="F"/>
    <s v="Not Available"/>
    <s v="123-456-7890"/>
    <x v="3"/>
    <x v="2"/>
    <x v="0"/>
    <x v="0"/>
    <x v="0"/>
  </r>
  <r>
    <x v="9"/>
    <x v="0"/>
    <x v="0"/>
    <x v="0"/>
    <x v="4"/>
    <x v="3"/>
    <d v="2019-12-01T00:00:00"/>
    <s v="F"/>
    <s v="user@domain.com"/>
    <s v="098-765-4321"/>
    <x v="3"/>
    <x v="0"/>
    <x v="0"/>
    <x v="0"/>
    <x v="0"/>
  </r>
  <r>
    <x v="7"/>
    <x v="2"/>
    <x v="1"/>
    <x v="2"/>
    <x v="4"/>
    <x v="4"/>
    <d v="2019-12-01T00:00:00"/>
    <s v="F"/>
    <s v="Not Available"/>
    <s v="123-456-7890"/>
    <x v="3"/>
    <x v="1"/>
    <x v="0"/>
    <x v="0"/>
    <x v="0"/>
  </r>
  <r>
    <x v="2"/>
    <x v="4"/>
    <x v="4"/>
    <x v="1"/>
    <x v="0"/>
    <x v="1"/>
    <d v="2019-12-01T00:00:00"/>
    <s v="C"/>
    <s v="user@domain.com"/>
    <s v="098-765-4321"/>
    <x v="3"/>
    <x v="1"/>
    <x v="2"/>
    <x v="1"/>
    <x v="0"/>
  </r>
  <r>
    <x v="4"/>
    <x v="0"/>
    <x v="3"/>
    <x v="1"/>
    <x v="3"/>
    <x v="1"/>
    <d v="2019-12-01T00:00:00"/>
    <s v="D"/>
    <s v="email@example.com"/>
    <s v="123-456-7890"/>
    <x v="3"/>
    <x v="0"/>
    <x v="0"/>
    <x v="0"/>
    <x v="0"/>
  </r>
  <r>
    <x v="2"/>
    <x v="1"/>
    <x v="5"/>
    <x v="2"/>
    <x v="4"/>
    <x v="4"/>
    <d v="2019-12-01T00:00:00"/>
    <s v="B"/>
    <s v="user@domain.com"/>
    <s v="Not Available"/>
    <x v="3"/>
    <x v="2"/>
    <x v="2"/>
    <x v="1"/>
    <x v="0"/>
  </r>
  <r>
    <x v="8"/>
    <x v="4"/>
    <x v="2"/>
    <x v="2"/>
    <x v="2"/>
    <x v="2"/>
    <d v="2019-12-01T00:00:00"/>
    <s v="A"/>
    <s v="Not Available"/>
    <s v="098-765-4321"/>
    <x v="3"/>
    <x v="2"/>
    <x v="1"/>
    <x v="1"/>
    <x v="1"/>
  </r>
  <r>
    <x v="8"/>
    <x v="2"/>
    <x v="0"/>
    <x v="1"/>
    <x v="4"/>
    <x v="2"/>
    <d v="2019-12-01T00:00:00"/>
    <s v="C"/>
    <s v="email@example.com"/>
    <s v="Not Available"/>
    <x v="3"/>
    <x v="0"/>
    <x v="2"/>
    <x v="1"/>
    <x v="0"/>
  </r>
  <r>
    <x v="2"/>
    <x v="4"/>
    <x v="2"/>
    <x v="1"/>
    <x v="3"/>
    <x v="0"/>
    <d v="2019-12-01T00:00:00"/>
    <s v="C"/>
    <s v="email@example.com"/>
    <s v="555-555-5555"/>
    <x v="3"/>
    <x v="2"/>
    <x v="2"/>
    <x v="1"/>
    <x v="0"/>
  </r>
  <r>
    <x v="3"/>
    <x v="0"/>
    <x v="1"/>
    <x v="2"/>
    <x v="4"/>
    <x v="3"/>
    <d v="2019-12-01T00:00:00"/>
    <s v="B"/>
    <s v="email@example.com"/>
    <s v="Not Available"/>
    <x v="3"/>
    <x v="1"/>
    <x v="2"/>
    <x v="1"/>
    <x v="0"/>
  </r>
  <r>
    <x v="9"/>
    <x v="2"/>
    <x v="0"/>
    <x v="0"/>
    <x v="2"/>
    <x v="4"/>
    <d v="2019-12-01T00:00:00"/>
    <s v="B"/>
    <s v="email@example.com"/>
    <s v="098-765-4321"/>
    <x v="3"/>
    <x v="0"/>
    <x v="2"/>
    <x v="1"/>
    <x v="0"/>
  </r>
  <r>
    <x v="9"/>
    <x v="0"/>
    <x v="0"/>
    <x v="0"/>
    <x v="3"/>
    <x v="4"/>
    <d v="2019-12-01T00:00:00"/>
    <s v="F"/>
    <s v="email@example.com"/>
    <s v="098-765-4321"/>
    <x v="3"/>
    <x v="0"/>
    <x v="0"/>
    <x v="0"/>
    <x v="0"/>
  </r>
  <r>
    <x v="8"/>
    <x v="3"/>
    <x v="4"/>
    <x v="2"/>
    <x v="1"/>
    <x v="4"/>
    <d v="2019-12-01T00:00:00"/>
    <s v="F"/>
    <s v="name@company.org"/>
    <s v="098-765-4321"/>
    <x v="3"/>
    <x v="1"/>
    <x v="0"/>
    <x v="0"/>
    <x v="0"/>
  </r>
  <r>
    <x v="3"/>
    <x v="4"/>
    <x v="0"/>
    <x v="2"/>
    <x v="2"/>
    <x v="4"/>
    <d v="2019-12-01T00:00:00"/>
    <s v="C"/>
    <s v="email@example.com"/>
    <s v="123-456-7890"/>
    <x v="3"/>
    <x v="0"/>
    <x v="2"/>
    <x v="1"/>
    <x v="0"/>
  </r>
  <r>
    <x v="8"/>
    <x v="1"/>
    <x v="0"/>
    <x v="1"/>
    <x v="1"/>
    <x v="1"/>
    <d v="2019-12-01T00:00:00"/>
    <s v="D"/>
    <s v="Not Available"/>
    <s v="555-555-5555"/>
    <x v="3"/>
    <x v="0"/>
    <x v="0"/>
    <x v="0"/>
    <x v="0"/>
  </r>
  <r>
    <x v="7"/>
    <x v="3"/>
    <x v="0"/>
    <x v="1"/>
    <x v="1"/>
    <x v="4"/>
    <d v="2019-12-01T00:00:00"/>
    <s v="D"/>
    <s v="Not Available"/>
    <s v="098-765-4321"/>
    <x v="3"/>
    <x v="0"/>
    <x v="0"/>
    <x v="0"/>
    <x v="0"/>
  </r>
  <r>
    <x v="0"/>
    <x v="1"/>
    <x v="2"/>
    <x v="2"/>
    <x v="2"/>
    <x v="4"/>
    <d v="2019-12-01T00:00:00"/>
    <s v="D"/>
    <s v="Not Available"/>
    <s v="Not Available"/>
    <x v="3"/>
    <x v="2"/>
    <x v="0"/>
    <x v="0"/>
    <x v="0"/>
  </r>
  <r>
    <x v="2"/>
    <x v="1"/>
    <x v="0"/>
    <x v="0"/>
    <x v="1"/>
    <x v="0"/>
    <d v="2019-12-01T00:00:00"/>
    <s v="D"/>
    <s v="user@domain.com"/>
    <s v="555-555-5555"/>
    <x v="3"/>
    <x v="0"/>
    <x v="0"/>
    <x v="0"/>
    <x v="0"/>
  </r>
  <r>
    <x v="0"/>
    <x v="4"/>
    <x v="3"/>
    <x v="0"/>
    <x v="2"/>
    <x v="2"/>
    <d v="2019-12-01T00:00:00"/>
    <s v="C"/>
    <s v="user@domain.com"/>
    <s v="Not Available"/>
    <x v="3"/>
    <x v="0"/>
    <x v="2"/>
    <x v="1"/>
    <x v="0"/>
  </r>
  <r>
    <x v="3"/>
    <x v="3"/>
    <x v="4"/>
    <x v="0"/>
    <x v="3"/>
    <x v="0"/>
    <d v="2019-12-01T00:00:00"/>
    <s v="F"/>
    <s v="user@domain.com"/>
    <s v="123-456-7890"/>
    <x v="3"/>
    <x v="1"/>
    <x v="0"/>
    <x v="0"/>
    <x v="0"/>
  </r>
  <r>
    <x v="4"/>
    <x v="2"/>
    <x v="5"/>
    <x v="2"/>
    <x v="1"/>
    <x v="2"/>
    <d v="2018-04-02T00:00:00"/>
    <s v="D"/>
    <s v="email@example.com"/>
    <s v="Not Available"/>
    <x v="4"/>
    <x v="2"/>
    <x v="0"/>
    <x v="0"/>
    <x v="0"/>
  </r>
  <r>
    <x v="1"/>
    <x v="0"/>
    <x v="5"/>
    <x v="0"/>
    <x v="2"/>
    <x v="2"/>
    <d v="2018-04-02T00:00:00"/>
    <s v="A"/>
    <s v="name@company.org"/>
    <s v="Not Available"/>
    <x v="4"/>
    <x v="2"/>
    <x v="1"/>
    <x v="1"/>
    <x v="1"/>
  </r>
  <r>
    <x v="7"/>
    <x v="1"/>
    <x v="5"/>
    <x v="2"/>
    <x v="2"/>
    <x v="1"/>
    <d v="2018-04-02T00:00:00"/>
    <s v="D"/>
    <s v="Not Available"/>
    <s v="Not Available"/>
    <x v="4"/>
    <x v="2"/>
    <x v="0"/>
    <x v="0"/>
    <x v="0"/>
  </r>
  <r>
    <x v="1"/>
    <x v="0"/>
    <x v="0"/>
    <x v="2"/>
    <x v="0"/>
    <x v="4"/>
    <d v="2018-04-02T00:00:00"/>
    <s v="F"/>
    <s v="Not Available"/>
    <s v="123-456-7890"/>
    <x v="4"/>
    <x v="0"/>
    <x v="0"/>
    <x v="0"/>
    <x v="0"/>
  </r>
  <r>
    <x v="7"/>
    <x v="3"/>
    <x v="2"/>
    <x v="2"/>
    <x v="1"/>
    <x v="0"/>
    <d v="2018-04-02T00:00:00"/>
    <s v="D"/>
    <s v="user@domain.com"/>
    <s v="Not Available"/>
    <x v="4"/>
    <x v="2"/>
    <x v="0"/>
    <x v="0"/>
    <x v="0"/>
  </r>
  <r>
    <x v="9"/>
    <x v="2"/>
    <x v="5"/>
    <x v="1"/>
    <x v="2"/>
    <x v="0"/>
    <d v="2018-04-02T00:00:00"/>
    <s v="F"/>
    <s v="user@domain.com"/>
    <s v="555-555-5555"/>
    <x v="4"/>
    <x v="2"/>
    <x v="0"/>
    <x v="0"/>
    <x v="0"/>
  </r>
  <r>
    <x v="3"/>
    <x v="3"/>
    <x v="5"/>
    <x v="1"/>
    <x v="4"/>
    <x v="3"/>
    <d v="2018-04-02T00:00:00"/>
    <s v="B"/>
    <s v="email@example.com"/>
    <s v="Not Available"/>
    <x v="4"/>
    <x v="2"/>
    <x v="2"/>
    <x v="1"/>
    <x v="0"/>
  </r>
  <r>
    <x v="5"/>
    <x v="4"/>
    <x v="5"/>
    <x v="1"/>
    <x v="0"/>
    <x v="2"/>
    <d v="2018-04-02T00:00:00"/>
    <s v="A"/>
    <s v="name@company.org"/>
    <s v="123-456-7890"/>
    <x v="4"/>
    <x v="2"/>
    <x v="1"/>
    <x v="1"/>
    <x v="1"/>
  </r>
  <r>
    <x v="2"/>
    <x v="4"/>
    <x v="1"/>
    <x v="0"/>
    <x v="2"/>
    <x v="0"/>
    <d v="2018-04-02T00:00:00"/>
    <s v="D"/>
    <s v="email@example.com"/>
    <s v="555-555-5555"/>
    <x v="4"/>
    <x v="1"/>
    <x v="0"/>
    <x v="0"/>
    <x v="0"/>
  </r>
  <r>
    <x v="5"/>
    <x v="4"/>
    <x v="3"/>
    <x v="0"/>
    <x v="1"/>
    <x v="1"/>
    <d v="2018-04-02T00:00:00"/>
    <s v="C"/>
    <s v="email@example.com"/>
    <s v="Not Available"/>
    <x v="4"/>
    <x v="0"/>
    <x v="2"/>
    <x v="1"/>
    <x v="0"/>
  </r>
  <r>
    <x v="2"/>
    <x v="1"/>
    <x v="5"/>
    <x v="0"/>
    <x v="3"/>
    <x v="1"/>
    <d v="2018-04-02T00:00:00"/>
    <s v="D"/>
    <s v="user@domain.com"/>
    <s v="098-765-4321"/>
    <x v="4"/>
    <x v="2"/>
    <x v="0"/>
    <x v="0"/>
    <x v="0"/>
  </r>
  <r>
    <x v="8"/>
    <x v="0"/>
    <x v="5"/>
    <x v="2"/>
    <x v="4"/>
    <x v="4"/>
    <d v="2018-04-02T00:00:00"/>
    <s v="D"/>
    <s v="Not Available"/>
    <s v="098-765-4321"/>
    <x v="4"/>
    <x v="2"/>
    <x v="0"/>
    <x v="0"/>
    <x v="0"/>
  </r>
  <r>
    <x v="8"/>
    <x v="0"/>
    <x v="5"/>
    <x v="2"/>
    <x v="2"/>
    <x v="0"/>
    <d v="2018-04-02T00:00:00"/>
    <s v="A"/>
    <s v="email@example.com"/>
    <s v="Not Available"/>
    <x v="4"/>
    <x v="2"/>
    <x v="1"/>
    <x v="1"/>
    <x v="1"/>
  </r>
  <r>
    <x v="3"/>
    <x v="0"/>
    <x v="5"/>
    <x v="1"/>
    <x v="0"/>
    <x v="4"/>
    <d v="2018-04-02T00:00:00"/>
    <s v="D"/>
    <s v="user@domain.com"/>
    <s v="Not Available"/>
    <x v="4"/>
    <x v="2"/>
    <x v="0"/>
    <x v="0"/>
    <x v="0"/>
  </r>
  <r>
    <x v="0"/>
    <x v="3"/>
    <x v="5"/>
    <x v="0"/>
    <x v="3"/>
    <x v="3"/>
    <d v="2018-04-02T00:00:00"/>
    <s v="F"/>
    <s v="user@domain.com"/>
    <s v="Not Available"/>
    <x v="4"/>
    <x v="2"/>
    <x v="0"/>
    <x v="0"/>
    <x v="0"/>
  </r>
  <r>
    <x v="6"/>
    <x v="4"/>
    <x v="2"/>
    <x v="0"/>
    <x v="0"/>
    <x v="2"/>
    <d v="2018-04-02T00:00:00"/>
    <s v="F"/>
    <s v="user@domain.com"/>
    <s v="555-555-5555"/>
    <x v="4"/>
    <x v="2"/>
    <x v="0"/>
    <x v="0"/>
    <x v="0"/>
  </r>
  <r>
    <x v="0"/>
    <x v="2"/>
    <x v="4"/>
    <x v="1"/>
    <x v="3"/>
    <x v="2"/>
    <d v="2018-04-02T00:00:00"/>
    <s v="D"/>
    <s v="email@example.com"/>
    <s v="555-555-5555"/>
    <x v="4"/>
    <x v="1"/>
    <x v="0"/>
    <x v="0"/>
    <x v="0"/>
  </r>
  <r>
    <x v="3"/>
    <x v="2"/>
    <x v="2"/>
    <x v="1"/>
    <x v="1"/>
    <x v="0"/>
    <d v="2018-04-02T00:00:00"/>
    <s v="B"/>
    <s v="Not Available"/>
    <s v="098-765-4321"/>
    <x v="4"/>
    <x v="2"/>
    <x v="2"/>
    <x v="1"/>
    <x v="0"/>
  </r>
  <r>
    <x v="5"/>
    <x v="0"/>
    <x v="2"/>
    <x v="1"/>
    <x v="3"/>
    <x v="4"/>
    <d v="2018-04-02T00:00:00"/>
    <s v="D"/>
    <s v="Not Available"/>
    <s v="098-765-4321"/>
    <x v="4"/>
    <x v="2"/>
    <x v="0"/>
    <x v="0"/>
    <x v="0"/>
  </r>
  <r>
    <x v="9"/>
    <x v="2"/>
    <x v="0"/>
    <x v="2"/>
    <x v="0"/>
    <x v="0"/>
    <d v="2018-04-02T00:00:00"/>
    <s v="D"/>
    <s v="user@domain.com"/>
    <s v="123-456-7890"/>
    <x v="4"/>
    <x v="0"/>
    <x v="0"/>
    <x v="0"/>
    <x v="0"/>
  </r>
  <r>
    <x v="4"/>
    <x v="3"/>
    <x v="3"/>
    <x v="0"/>
    <x v="4"/>
    <x v="4"/>
    <d v="2018-04-02T00:00:00"/>
    <s v="C"/>
    <s v="Not Available"/>
    <s v="098-765-4321"/>
    <x v="4"/>
    <x v="0"/>
    <x v="2"/>
    <x v="1"/>
    <x v="0"/>
  </r>
  <r>
    <x v="5"/>
    <x v="0"/>
    <x v="4"/>
    <x v="1"/>
    <x v="2"/>
    <x v="1"/>
    <d v="2018-04-02T00:00:00"/>
    <s v="B"/>
    <s v="user@domain.com"/>
    <s v="098-765-4321"/>
    <x v="4"/>
    <x v="1"/>
    <x v="2"/>
    <x v="1"/>
    <x v="0"/>
  </r>
  <r>
    <x v="7"/>
    <x v="1"/>
    <x v="4"/>
    <x v="2"/>
    <x v="4"/>
    <x v="1"/>
    <d v="2018-04-02T00:00:00"/>
    <s v="D"/>
    <s v="name@company.org"/>
    <s v="098-765-4321"/>
    <x v="4"/>
    <x v="1"/>
    <x v="0"/>
    <x v="0"/>
    <x v="0"/>
  </r>
  <r>
    <x v="3"/>
    <x v="1"/>
    <x v="1"/>
    <x v="1"/>
    <x v="1"/>
    <x v="0"/>
    <d v="2018-04-02T00:00:00"/>
    <s v="C"/>
    <s v="user@domain.com"/>
    <s v="098-765-4321"/>
    <x v="4"/>
    <x v="1"/>
    <x v="2"/>
    <x v="1"/>
    <x v="0"/>
  </r>
  <r>
    <x v="5"/>
    <x v="3"/>
    <x v="0"/>
    <x v="0"/>
    <x v="3"/>
    <x v="0"/>
    <d v="2018-04-02T00:00:00"/>
    <s v="B"/>
    <s v="email@example.com"/>
    <s v="Not Available"/>
    <x v="4"/>
    <x v="0"/>
    <x v="2"/>
    <x v="1"/>
    <x v="0"/>
  </r>
  <r>
    <x v="3"/>
    <x v="0"/>
    <x v="2"/>
    <x v="0"/>
    <x v="0"/>
    <x v="2"/>
    <d v="2018-04-02T00:00:00"/>
    <s v="F"/>
    <s v="user@domain.com"/>
    <s v="123-456-7890"/>
    <x v="4"/>
    <x v="2"/>
    <x v="0"/>
    <x v="0"/>
    <x v="0"/>
  </r>
  <r>
    <x v="4"/>
    <x v="3"/>
    <x v="0"/>
    <x v="1"/>
    <x v="0"/>
    <x v="3"/>
    <d v="2018-04-02T00:00:00"/>
    <s v="F"/>
    <s v="email@example.com"/>
    <s v="123-456-7890"/>
    <x v="4"/>
    <x v="0"/>
    <x v="0"/>
    <x v="0"/>
    <x v="0"/>
  </r>
  <r>
    <x v="5"/>
    <x v="3"/>
    <x v="0"/>
    <x v="2"/>
    <x v="2"/>
    <x v="0"/>
    <d v="2018-04-02T00:00:00"/>
    <s v="A"/>
    <s v="Not Available"/>
    <s v="123-456-7890"/>
    <x v="4"/>
    <x v="0"/>
    <x v="1"/>
    <x v="1"/>
    <x v="1"/>
  </r>
  <r>
    <x v="2"/>
    <x v="1"/>
    <x v="3"/>
    <x v="2"/>
    <x v="0"/>
    <x v="2"/>
    <d v="2018-04-02T00:00:00"/>
    <s v="B"/>
    <s v="user@domain.com"/>
    <s v="555-555-5555"/>
    <x v="4"/>
    <x v="0"/>
    <x v="2"/>
    <x v="1"/>
    <x v="0"/>
  </r>
  <r>
    <x v="3"/>
    <x v="1"/>
    <x v="4"/>
    <x v="1"/>
    <x v="3"/>
    <x v="1"/>
    <d v="2018-04-02T00:00:00"/>
    <s v="F"/>
    <s v="email@example.com"/>
    <s v="Not Available"/>
    <x v="4"/>
    <x v="1"/>
    <x v="0"/>
    <x v="0"/>
    <x v="0"/>
  </r>
  <r>
    <x v="8"/>
    <x v="0"/>
    <x v="5"/>
    <x v="0"/>
    <x v="0"/>
    <x v="3"/>
    <d v="2018-04-02T00:00:00"/>
    <s v="A"/>
    <s v="name@company.org"/>
    <s v="Not Available"/>
    <x v="4"/>
    <x v="2"/>
    <x v="1"/>
    <x v="1"/>
    <x v="1"/>
  </r>
  <r>
    <x v="1"/>
    <x v="3"/>
    <x v="3"/>
    <x v="1"/>
    <x v="4"/>
    <x v="4"/>
    <d v="2018-04-02T00:00:00"/>
    <s v="B"/>
    <s v="name@company.org"/>
    <s v="Not Available"/>
    <x v="4"/>
    <x v="0"/>
    <x v="2"/>
    <x v="1"/>
    <x v="0"/>
  </r>
  <r>
    <x v="9"/>
    <x v="0"/>
    <x v="5"/>
    <x v="1"/>
    <x v="4"/>
    <x v="0"/>
    <d v="2018-04-02T00:00:00"/>
    <s v="D"/>
    <s v="Not Available"/>
    <s v="Not Available"/>
    <x v="4"/>
    <x v="2"/>
    <x v="0"/>
    <x v="0"/>
    <x v="0"/>
  </r>
  <r>
    <x v="6"/>
    <x v="3"/>
    <x v="2"/>
    <x v="0"/>
    <x v="1"/>
    <x v="4"/>
    <d v="2018-04-02T00:00:00"/>
    <s v="F"/>
    <s v="user@domain.com"/>
    <s v="098-765-4321"/>
    <x v="4"/>
    <x v="2"/>
    <x v="0"/>
    <x v="0"/>
    <x v="0"/>
  </r>
  <r>
    <x v="0"/>
    <x v="0"/>
    <x v="3"/>
    <x v="0"/>
    <x v="3"/>
    <x v="0"/>
    <d v="2018-04-02T00:00:00"/>
    <s v="D"/>
    <s v="Not Available"/>
    <s v="555-555-5555"/>
    <x v="4"/>
    <x v="0"/>
    <x v="0"/>
    <x v="0"/>
    <x v="0"/>
  </r>
  <r>
    <x v="8"/>
    <x v="1"/>
    <x v="2"/>
    <x v="2"/>
    <x v="1"/>
    <x v="3"/>
    <d v="2018-04-02T00:00:00"/>
    <s v="F"/>
    <s v="name@company.org"/>
    <s v="Not Available"/>
    <x v="4"/>
    <x v="2"/>
    <x v="0"/>
    <x v="0"/>
    <x v="0"/>
  </r>
  <r>
    <x v="0"/>
    <x v="2"/>
    <x v="3"/>
    <x v="1"/>
    <x v="3"/>
    <x v="1"/>
    <d v="2018-04-02T00:00:00"/>
    <s v="F"/>
    <s v="name@company.org"/>
    <s v="Not Available"/>
    <x v="4"/>
    <x v="0"/>
    <x v="0"/>
    <x v="0"/>
    <x v="0"/>
  </r>
  <r>
    <x v="5"/>
    <x v="0"/>
    <x v="2"/>
    <x v="2"/>
    <x v="2"/>
    <x v="3"/>
    <d v="2018-04-02T00:00:00"/>
    <s v="B"/>
    <s v="name@company.org"/>
    <s v="123-456-7890"/>
    <x v="4"/>
    <x v="2"/>
    <x v="2"/>
    <x v="1"/>
    <x v="0"/>
  </r>
  <r>
    <x v="4"/>
    <x v="1"/>
    <x v="2"/>
    <x v="0"/>
    <x v="1"/>
    <x v="0"/>
    <d v="2018-04-02T00:00:00"/>
    <s v="F"/>
    <s v="email@example.com"/>
    <s v="Not Available"/>
    <x v="4"/>
    <x v="2"/>
    <x v="0"/>
    <x v="0"/>
    <x v="0"/>
  </r>
  <r>
    <x v="7"/>
    <x v="4"/>
    <x v="2"/>
    <x v="0"/>
    <x v="1"/>
    <x v="3"/>
    <d v="2018-04-02T00:00:00"/>
    <s v="C"/>
    <s v="user@domain.com"/>
    <s v="Not Available"/>
    <x v="4"/>
    <x v="2"/>
    <x v="2"/>
    <x v="1"/>
    <x v="0"/>
  </r>
  <r>
    <x v="5"/>
    <x v="1"/>
    <x v="0"/>
    <x v="0"/>
    <x v="1"/>
    <x v="4"/>
    <d v="2018-04-02T00:00:00"/>
    <s v="D"/>
    <s v="Not Available"/>
    <s v="123-456-7890"/>
    <x v="4"/>
    <x v="0"/>
    <x v="0"/>
    <x v="0"/>
    <x v="0"/>
  </r>
  <r>
    <x v="4"/>
    <x v="4"/>
    <x v="5"/>
    <x v="2"/>
    <x v="2"/>
    <x v="1"/>
    <d v="2018-04-02T00:00:00"/>
    <s v="A"/>
    <s v="Not Available"/>
    <s v="123-456-7890"/>
    <x v="4"/>
    <x v="2"/>
    <x v="1"/>
    <x v="1"/>
    <x v="1"/>
  </r>
  <r>
    <x v="2"/>
    <x v="3"/>
    <x v="4"/>
    <x v="1"/>
    <x v="1"/>
    <x v="3"/>
    <d v="2018-04-02T00:00:00"/>
    <s v="A"/>
    <s v="user@domain.com"/>
    <s v="Not Available"/>
    <x v="4"/>
    <x v="1"/>
    <x v="1"/>
    <x v="1"/>
    <x v="1"/>
  </r>
  <r>
    <x v="1"/>
    <x v="4"/>
    <x v="5"/>
    <x v="1"/>
    <x v="3"/>
    <x v="1"/>
    <d v="2018-04-02T00:00:00"/>
    <s v="C"/>
    <s v="name@company.org"/>
    <s v="Not Available"/>
    <x v="4"/>
    <x v="2"/>
    <x v="2"/>
    <x v="1"/>
    <x v="0"/>
  </r>
  <r>
    <x v="1"/>
    <x v="2"/>
    <x v="0"/>
    <x v="1"/>
    <x v="1"/>
    <x v="2"/>
    <d v="2018-04-02T00:00:00"/>
    <s v="D"/>
    <s v="Not Available"/>
    <s v="555-555-5555"/>
    <x v="4"/>
    <x v="0"/>
    <x v="0"/>
    <x v="0"/>
    <x v="0"/>
  </r>
  <r>
    <x v="0"/>
    <x v="0"/>
    <x v="1"/>
    <x v="2"/>
    <x v="1"/>
    <x v="0"/>
    <d v="2018-04-02T00:00:00"/>
    <s v="B"/>
    <s v="email@example.com"/>
    <s v="Not Available"/>
    <x v="4"/>
    <x v="1"/>
    <x v="2"/>
    <x v="1"/>
    <x v="0"/>
  </r>
  <r>
    <x v="9"/>
    <x v="0"/>
    <x v="4"/>
    <x v="1"/>
    <x v="4"/>
    <x v="3"/>
    <d v="2018-04-02T00:00:00"/>
    <s v="A"/>
    <s v="Not Available"/>
    <s v="Not Available"/>
    <x v="4"/>
    <x v="1"/>
    <x v="1"/>
    <x v="1"/>
    <x v="1"/>
  </r>
  <r>
    <x v="7"/>
    <x v="0"/>
    <x v="0"/>
    <x v="2"/>
    <x v="0"/>
    <x v="4"/>
    <d v="2018-04-02T00:00:00"/>
    <s v="F"/>
    <s v="email@example.com"/>
    <s v="Not Available"/>
    <x v="4"/>
    <x v="0"/>
    <x v="0"/>
    <x v="0"/>
    <x v="0"/>
  </r>
  <r>
    <x v="5"/>
    <x v="4"/>
    <x v="5"/>
    <x v="1"/>
    <x v="0"/>
    <x v="1"/>
    <d v="2018-04-02T00:00:00"/>
    <s v="D"/>
    <s v="email@example.com"/>
    <s v="Not Available"/>
    <x v="4"/>
    <x v="2"/>
    <x v="0"/>
    <x v="0"/>
    <x v="0"/>
  </r>
  <r>
    <x v="5"/>
    <x v="0"/>
    <x v="2"/>
    <x v="1"/>
    <x v="1"/>
    <x v="0"/>
    <d v="2018-04-02T00:00:00"/>
    <s v="D"/>
    <s v="name@company.org"/>
    <s v="123-456-7890"/>
    <x v="4"/>
    <x v="2"/>
    <x v="0"/>
    <x v="0"/>
    <x v="0"/>
  </r>
  <r>
    <x v="8"/>
    <x v="0"/>
    <x v="0"/>
    <x v="2"/>
    <x v="0"/>
    <x v="1"/>
    <d v="2018-04-02T00:00:00"/>
    <s v="D"/>
    <s v="name@company.org"/>
    <s v="123-456-7890"/>
    <x v="4"/>
    <x v="0"/>
    <x v="0"/>
    <x v="0"/>
    <x v="0"/>
  </r>
  <r>
    <x v="9"/>
    <x v="4"/>
    <x v="5"/>
    <x v="1"/>
    <x v="0"/>
    <x v="1"/>
    <d v="2018-04-02T00:00:00"/>
    <s v="D"/>
    <s v="name@company.org"/>
    <s v="123-456-7890"/>
    <x v="4"/>
    <x v="2"/>
    <x v="0"/>
    <x v="0"/>
    <x v="0"/>
  </r>
  <r>
    <x v="1"/>
    <x v="2"/>
    <x v="2"/>
    <x v="2"/>
    <x v="3"/>
    <x v="2"/>
    <d v="2018-04-02T00:00:00"/>
    <s v="B"/>
    <s v="Not Available"/>
    <s v="Not Available"/>
    <x v="4"/>
    <x v="2"/>
    <x v="2"/>
    <x v="1"/>
    <x v="0"/>
  </r>
  <r>
    <x v="8"/>
    <x v="3"/>
    <x v="1"/>
    <x v="0"/>
    <x v="0"/>
    <x v="0"/>
    <d v="2018-04-02T00:00:00"/>
    <s v="B"/>
    <s v="user@domain.com"/>
    <s v="555-555-5555"/>
    <x v="4"/>
    <x v="1"/>
    <x v="2"/>
    <x v="1"/>
    <x v="0"/>
  </r>
  <r>
    <x v="9"/>
    <x v="2"/>
    <x v="1"/>
    <x v="1"/>
    <x v="0"/>
    <x v="0"/>
    <d v="2018-04-02T00:00:00"/>
    <s v="B"/>
    <s v="name@company.org"/>
    <s v="Not Available"/>
    <x v="4"/>
    <x v="1"/>
    <x v="2"/>
    <x v="1"/>
    <x v="0"/>
  </r>
  <r>
    <x v="8"/>
    <x v="0"/>
    <x v="1"/>
    <x v="1"/>
    <x v="4"/>
    <x v="1"/>
    <d v="2018-04-02T00:00:00"/>
    <s v="C"/>
    <s v="user@domain.com"/>
    <s v="123-456-7890"/>
    <x v="4"/>
    <x v="1"/>
    <x v="2"/>
    <x v="1"/>
    <x v="0"/>
  </r>
  <r>
    <x v="1"/>
    <x v="3"/>
    <x v="5"/>
    <x v="1"/>
    <x v="1"/>
    <x v="3"/>
    <d v="2018-04-02T00:00:00"/>
    <s v="D"/>
    <s v="user@domain.com"/>
    <s v="123-456-7890"/>
    <x v="4"/>
    <x v="2"/>
    <x v="0"/>
    <x v="0"/>
    <x v="0"/>
  </r>
  <r>
    <x v="6"/>
    <x v="0"/>
    <x v="5"/>
    <x v="1"/>
    <x v="2"/>
    <x v="2"/>
    <d v="2018-04-02T00:00:00"/>
    <s v="D"/>
    <s v="user@domain.com"/>
    <s v="Not Available"/>
    <x v="4"/>
    <x v="2"/>
    <x v="0"/>
    <x v="0"/>
    <x v="0"/>
  </r>
  <r>
    <x v="6"/>
    <x v="3"/>
    <x v="0"/>
    <x v="2"/>
    <x v="3"/>
    <x v="2"/>
    <d v="2018-04-02T00:00:00"/>
    <s v="F"/>
    <s v="user@domain.com"/>
    <s v="123-456-7890"/>
    <x v="4"/>
    <x v="0"/>
    <x v="0"/>
    <x v="0"/>
    <x v="0"/>
  </r>
  <r>
    <x v="7"/>
    <x v="1"/>
    <x v="3"/>
    <x v="0"/>
    <x v="1"/>
    <x v="0"/>
    <d v="2018-04-02T00:00:00"/>
    <s v="C"/>
    <s v="Not Available"/>
    <s v="555-555-5555"/>
    <x v="4"/>
    <x v="0"/>
    <x v="2"/>
    <x v="1"/>
    <x v="0"/>
  </r>
  <r>
    <x v="5"/>
    <x v="0"/>
    <x v="2"/>
    <x v="1"/>
    <x v="2"/>
    <x v="2"/>
    <d v="2018-04-02T00:00:00"/>
    <s v="A"/>
    <s v="email@example.com"/>
    <s v="123-456-7890"/>
    <x v="4"/>
    <x v="2"/>
    <x v="1"/>
    <x v="1"/>
    <x v="1"/>
  </r>
  <r>
    <x v="4"/>
    <x v="4"/>
    <x v="1"/>
    <x v="1"/>
    <x v="2"/>
    <x v="4"/>
    <d v="2018-04-02T00:00:00"/>
    <s v="C"/>
    <s v="name@company.org"/>
    <s v="555-555-5555"/>
    <x v="4"/>
    <x v="1"/>
    <x v="2"/>
    <x v="1"/>
    <x v="0"/>
  </r>
  <r>
    <x v="3"/>
    <x v="1"/>
    <x v="2"/>
    <x v="2"/>
    <x v="2"/>
    <x v="1"/>
    <d v="2018-04-02T00:00:00"/>
    <s v="A"/>
    <s v="name@company.org"/>
    <s v="Not Available"/>
    <x v="4"/>
    <x v="2"/>
    <x v="1"/>
    <x v="1"/>
    <x v="1"/>
  </r>
  <r>
    <x v="4"/>
    <x v="1"/>
    <x v="1"/>
    <x v="1"/>
    <x v="2"/>
    <x v="1"/>
    <d v="2018-04-02T00:00:00"/>
    <s v="B"/>
    <s v="Not Available"/>
    <s v="098-765-4321"/>
    <x v="4"/>
    <x v="1"/>
    <x v="2"/>
    <x v="1"/>
    <x v="0"/>
  </r>
  <r>
    <x v="2"/>
    <x v="0"/>
    <x v="3"/>
    <x v="0"/>
    <x v="4"/>
    <x v="3"/>
    <d v="2018-04-02T00:00:00"/>
    <s v="D"/>
    <s v="Not Available"/>
    <s v="123-456-7890"/>
    <x v="4"/>
    <x v="0"/>
    <x v="0"/>
    <x v="0"/>
    <x v="0"/>
  </r>
  <r>
    <x v="8"/>
    <x v="0"/>
    <x v="4"/>
    <x v="0"/>
    <x v="1"/>
    <x v="3"/>
    <d v="2018-04-02T00:00:00"/>
    <s v="C"/>
    <s v="Not Available"/>
    <s v="098-765-4321"/>
    <x v="4"/>
    <x v="1"/>
    <x v="2"/>
    <x v="1"/>
    <x v="0"/>
  </r>
  <r>
    <x v="9"/>
    <x v="1"/>
    <x v="5"/>
    <x v="1"/>
    <x v="0"/>
    <x v="3"/>
    <d v="2018-04-02T00:00:00"/>
    <s v="B"/>
    <s v="Not Available"/>
    <s v="123-456-7890"/>
    <x v="4"/>
    <x v="2"/>
    <x v="2"/>
    <x v="1"/>
    <x v="0"/>
  </r>
  <r>
    <x v="3"/>
    <x v="3"/>
    <x v="2"/>
    <x v="2"/>
    <x v="4"/>
    <x v="0"/>
    <d v="2018-04-02T00:00:00"/>
    <s v="B"/>
    <s v="email@example.com"/>
    <s v="123-456-7890"/>
    <x v="4"/>
    <x v="2"/>
    <x v="2"/>
    <x v="1"/>
    <x v="0"/>
  </r>
  <r>
    <x v="3"/>
    <x v="4"/>
    <x v="0"/>
    <x v="1"/>
    <x v="0"/>
    <x v="4"/>
    <d v="2018-04-02T00:00:00"/>
    <s v="D"/>
    <s v="Not Available"/>
    <s v="123-456-7890"/>
    <x v="4"/>
    <x v="0"/>
    <x v="0"/>
    <x v="0"/>
    <x v="0"/>
  </r>
  <r>
    <x v="6"/>
    <x v="3"/>
    <x v="4"/>
    <x v="2"/>
    <x v="1"/>
    <x v="4"/>
    <d v="2018-04-02T00:00:00"/>
    <s v="B"/>
    <s v="name@company.org"/>
    <s v="Not Available"/>
    <x v="4"/>
    <x v="1"/>
    <x v="2"/>
    <x v="1"/>
    <x v="0"/>
  </r>
  <r>
    <x v="4"/>
    <x v="0"/>
    <x v="2"/>
    <x v="1"/>
    <x v="4"/>
    <x v="3"/>
    <d v="2018-04-02T00:00:00"/>
    <s v="A"/>
    <s v="email@example.com"/>
    <s v="098-765-4321"/>
    <x v="4"/>
    <x v="2"/>
    <x v="1"/>
    <x v="1"/>
    <x v="1"/>
  </r>
  <r>
    <x v="2"/>
    <x v="4"/>
    <x v="5"/>
    <x v="1"/>
    <x v="0"/>
    <x v="2"/>
    <d v="2018-04-02T00:00:00"/>
    <s v="B"/>
    <s v="Not Available"/>
    <s v="555-555-5555"/>
    <x v="4"/>
    <x v="2"/>
    <x v="2"/>
    <x v="1"/>
    <x v="0"/>
  </r>
  <r>
    <x v="9"/>
    <x v="3"/>
    <x v="4"/>
    <x v="1"/>
    <x v="1"/>
    <x v="0"/>
    <d v="2018-04-02T00:00:00"/>
    <s v="B"/>
    <s v="Not Available"/>
    <s v="098-765-4321"/>
    <x v="4"/>
    <x v="1"/>
    <x v="2"/>
    <x v="1"/>
    <x v="0"/>
  </r>
  <r>
    <x v="3"/>
    <x v="1"/>
    <x v="3"/>
    <x v="1"/>
    <x v="0"/>
    <x v="1"/>
    <d v="2018-04-02T00:00:00"/>
    <s v="B"/>
    <s v="email@example.com"/>
    <s v="Not Available"/>
    <x v="4"/>
    <x v="0"/>
    <x v="2"/>
    <x v="1"/>
    <x v="0"/>
  </r>
  <r>
    <x v="3"/>
    <x v="3"/>
    <x v="5"/>
    <x v="2"/>
    <x v="2"/>
    <x v="3"/>
    <d v="2018-04-02T00:00:00"/>
    <s v="A"/>
    <s v="Not Available"/>
    <s v="Not Available"/>
    <x v="4"/>
    <x v="2"/>
    <x v="1"/>
    <x v="1"/>
    <x v="1"/>
  </r>
  <r>
    <x v="7"/>
    <x v="3"/>
    <x v="3"/>
    <x v="0"/>
    <x v="2"/>
    <x v="2"/>
    <d v="2018-04-02T00:00:00"/>
    <s v="B"/>
    <s v="user@domain.com"/>
    <s v="Not Available"/>
    <x v="4"/>
    <x v="0"/>
    <x v="2"/>
    <x v="1"/>
    <x v="0"/>
  </r>
  <r>
    <x v="9"/>
    <x v="0"/>
    <x v="0"/>
    <x v="0"/>
    <x v="4"/>
    <x v="4"/>
    <d v="2018-04-02T00:00:00"/>
    <s v="F"/>
    <s v="Not Available"/>
    <s v="Not Available"/>
    <x v="4"/>
    <x v="0"/>
    <x v="0"/>
    <x v="0"/>
    <x v="0"/>
  </r>
  <r>
    <x v="7"/>
    <x v="0"/>
    <x v="1"/>
    <x v="0"/>
    <x v="1"/>
    <x v="2"/>
    <d v="2018-04-02T00:00:00"/>
    <s v="C"/>
    <s v="name@company.org"/>
    <s v="123-456-7890"/>
    <x v="4"/>
    <x v="1"/>
    <x v="2"/>
    <x v="1"/>
    <x v="0"/>
  </r>
  <r>
    <x v="9"/>
    <x v="1"/>
    <x v="4"/>
    <x v="0"/>
    <x v="2"/>
    <x v="1"/>
    <d v="2018-04-02T00:00:00"/>
    <s v="F"/>
    <s v="name@company.org"/>
    <s v="Not Available"/>
    <x v="4"/>
    <x v="1"/>
    <x v="0"/>
    <x v="0"/>
    <x v="0"/>
  </r>
  <r>
    <x v="6"/>
    <x v="1"/>
    <x v="3"/>
    <x v="1"/>
    <x v="2"/>
    <x v="1"/>
    <d v="2018-04-02T00:00:00"/>
    <s v="B"/>
    <s v="user@domain.com"/>
    <s v="555-555-5555"/>
    <x v="4"/>
    <x v="0"/>
    <x v="2"/>
    <x v="1"/>
    <x v="0"/>
  </r>
  <r>
    <x v="7"/>
    <x v="4"/>
    <x v="2"/>
    <x v="0"/>
    <x v="2"/>
    <x v="4"/>
    <d v="2018-04-02T00:00:00"/>
    <s v="D"/>
    <s v="email@example.com"/>
    <s v="098-765-4321"/>
    <x v="4"/>
    <x v="2"/>
    <x v="0"/>
    <x v="0"/>
    <x v="0"/>
  </r>
  <r>
    <x v="6"/>
    <x v="0"/>
    <x v="3"/>
    <x v="2"/>
    <x v="2"/>
    <x v="4"/>
    <d v="2018-04-02T00:00:00"/>
    <s v="A"/>
    <s v="Not Available"/>
    <s v="123-456-7890"/>
    <x v="4"/>
    <x v="0"/>
    <x v="1"/>
    <x v="1"/>
    <x v="1"/>
  </r>
  <r>
    <x v="3"/>
    <x v="3"/>
    <x v="1"/>
    <x v="0"/>
    <x v="3"/>
    <x v="0"/>
    <d v="2018-04-02T00:00:00"/>
    <s v="B"/>
    <s v="Not Available"/>
    <s v="098-765-4321"/>
    <x v="4"/>
    <x v="1"/>
    <x v="2"/>
    <x v="1"/>
    <x v="0"/>
  </r>
  <r>
    <x v="2"/>
    <x v="3"/>
    <x v="4"/>
    <x v="2"/>
    <x v="4"/>
    <x v="4"/>
    <d v="2018-04-02T00:00:00"/>
    <s v="F"/>
    <s v="Not Available"/>
    <s v="Not Available"/>
    <x v="4"/>
    <x v="1"/>
    <x v="0"/>
    <x v="0"/>
    <x v="0"/>
  </r>
  <r>
    <x v="4"/>
    <x v="0"/>
    <x v="5"/>
    <x v="1"/>
    <x v="0"/>
    <x v="0"/>
    <d v="2018-04-02T00:00:00"/>
    <s v="F"/>
    <s v="user@domain.com"/>
    <s v="Not Available"/>
    <x v="4"/>
    <x v="2"/>
    <x v="0"/>
    <x v="0"/>
    <x v="0"/>
  </r>
  <r>
    <x v="9"/>
    <x v="1"/>
    <x v="5"/>
    <x v="1"/>
    <x v="4"/>
    <x v="3"/>
    <d v="2018-04-02T00:00:00"/>
    <s v="F"/>
    <s v="email@example.com"/>
    <s v="555-555-5555"/>
    <x v="4"/>
    <x v="2"/>
    <x v="0"/>
    <x v="0"/>
    <x v="0"/>
  </r>
  <r>
    <x v="0"/>
    <x v="2"/>
    <x v="2"/>
    <x v="2"/>
    <x v="0"/>
    <x v="0"/>
    <d v="2018-04-02T00:00:00"/>
    <s v="D"/>
    <s v="user@domain.com"/>
    <s v="123-456-7890"/>
    <x v="4"/>
    <x v="2"/>
    <x v="0"/>
    <x v="0"/>
    <x v="0"/>
  </r>
  <r>
    <x v="5"/>
    <x v="3"/>
    <x v="2"/>
    <x v="1"/>
    <x v="1"/>
    <x v="4"/>
    <d v="2018-04-02T00:00:00"/>
    <s v="C"/>
    <s v="email@example.com"/>
    <s v="123-456-7890"/>
    <x v="4"/>
    <x v="2"/>
    <x v="2"/>
    <x v="1"/>
    <x v="0"/>
  </r>
  <r>
    <x v="5"/>
    <x v="4"/>
    <x v="3"/>
    <x v="2"/>
    <x v="3"/>
    <x v="1"/>
    <d v="2018-04-02T00:00:00"/>
    <s v="F"/>
    <s v="Not Available"/>
    <s v="123-456-7890"/>
    <x v="4"/>
    <x v="0"/>
    <x v="0"/>
    <x v="0"/>
    <x v="0"/>
  </r>
  <r>
    <x v="2"/>
    <x v="3"/>
    <x v="2"/>
    <x v="1"/>
    <x v="1"/>
    <x v="1"/>
    <d v="2018-04-02T00:00:00"/>
    <s v="B"/>
    <s v="email@example.com"/>
    <s v="Not Available"/>
    <x v="4"/>
    <x v="2"/>
    <x v="2"/>
    <x v="1"/>
    <x v="0"/>
  </r>
  <r>
    <x v="0"/>
    <x v="1"/>
    <x v="3"/>
    <x v="1"/>
    <x v="0"/>
    <x v="1"/>
    <d v="2018-04-02T00:00:00"/>
    <s v="F"/>
    <s v="Not Available"/>
    <s v="123-456-7890"/>
    <x v="4"/>
    <x v="0"/>
    <x v="0"/>
    <x v="0"/>
    <x v="0"/>
  </r>
  <r>
    <x v="4"/>
    <x v="3"/>
    <x v="5"/>
    <x v="0"/>
    <x v="4"/>
    <x v="3"/>
    <d v="2018-04-02T00:00:00"/>
    <s v="C"/>
    <s v="email@example.com"/>
    <s v="555-555-5555"/>
    <x v="4"/>
    <x v="2"/>
    <x v="2"/>
    <x v="1"/>
    <x v="0"/>
  </r>
  <r>
    <x v="4"/>
    <x v="3"/>
    <x v="3"/>
    <x v="0"/>
    <x v="3"/>
    <x v="0"/>
    <d v="2018-04-02T00:00:00"/>
    <s v="F"/>
    <s v="name@company.org"/>
    <s v="555-555-5555"/>
    <x v="4"/>
    <x v="0"/>
    <x v="0"/>
    <x v="0"/>
    <x v="0"/>
  </r>
  <r>
    <x v="3"/>
    <x v="0"/>
    <x v="1"/>
    <x v="2"/>
    <x v="3"/>
    <x v="1"/>
    <d v="2018-04-02T00:00:00"/>
    <s v="F"/>
    <s v="user@domain.com"/>
    <s v="123-456-7890"/>
    <x v="4"/>
    <x v="1"/>
    <x v="0"/>
    <x v="0"/>
    <x v="0"/>
  </r>
  <r>
    <x v="8"/>
    <x v="0"/>
    <x v="1"/>
    <x v="0"/>
    <x v="3"/>
    <x v="1"/>
    <d v="2018-04-02T00:00:00"/>
    <s v="B"/>
    <s v="name@company.org"/>
    <s v="123-456-7890"/>
    <x v="4"/>
    <x v="1"/>
    <x v="2"/>
    <x v="1"/>
    <x v="0"/>
  </r>
  <r>
    <x v="2"/>
    <x v="4"/>
    <x v="5"/>
    <x v="1"/>
    <x v="3"/>
    <x v="1"/>
    <d v="2018-04-02T00:00:00"/>
    <s v="F"/>
    <s v="user@domain.com"/>
    <s v="098-765-4321"/>
    <x v="4"/>
    <x v="2"/>
    <x v="0"/>
    <x v="0"/>
    <x v="0"/>
  </r>
  <r>
    <x v="2"/>
    <x v="1"/>
    <x v="2"/>
    <x v="1"/>
    <x v="3"/>
    <x v="1"/>
    <d v="2018-04-02T00:00:00"/>
    <s v="A"/>
    <s v="email@example.com"/>
    <s v="098-765-4321"/>
    <x v="4"/>
    <x v="2"/>
    <x v="1"/>
    <x v="1"/>
    <x v="1"/>
  </r>
  <r>
    <x v="9"/>
    <x v="1"/>
    <x v="4"/>
    <x v="2"/>
    <x v="0"/>
    <x v="4"/>
    <d v="2018-04-02T00:00:00"/>
    <s v="F"/>
    <s v="Not Available"/>
    <s v="Not Available"/>
    <x v="4"/>
    <x v="1"/>
    <x v="0"/>
    <x v="0"/>
    <x v="0"/>
  </r>
  <r>
    <x v="9"/>
    <x v="0"/>
    <x v="3"/>
    <x v="0"/>
    <x v="4"/>
    <x v="3"/>
    <d v="2018-04-02T00:00:00"/>
    <s v="B"/>
    <s v="name@company.org"/>
    <s v="555-555-5555"/>
    <x v="4"/>
    <x v="0"/>
    <x v="2"/>
    <x v="1"/>
    <x v="0"/>
  </r>
  <r>
    <x v="8"/>
    <x v="1"/>
    <x v="5"/>
    <x v="2"/>
    <x v="4"/>
    <x v="4"/>
    <d v="2018-04-02T00:00:00"/>
    <s v="F"/>
    <s v="Not Available"/>
    <s v="Not Available"/>
    <x v="4"/>
    <x v="2"/>
    <x v="0"/>
    <x v="0"/>
    <x v="0"/>
  </r>
  <r>
    <x v="1"/>
    <x v="4"/>
    <x v="4"/>
    <x v="2"/>
    <x v="0"/>
    <x v="3"/>
    <d v="2018-04-02T00:00:00"/>
    <s v="A"/>
    <s v="email@example.com"/>
    <s v="123-456-7890"/>
    <x v="4"/>
    <x v="1"/>
    <x v="1"/>
    <x v="1"/>
    <x v="1"/>
  </r>
  <r>
    <x v="3"/>
    <x v="1"/>
    <x v="2"/>
    <x v="0"/>
    <x v="3"/>
    <x v="2"/>
    <d v="2018-04-02T00:00:00"/>
    <s v="D"/>
    <s v="name@company.org"/>
    <s v="123-456-7890"/>
    <x v="4"/>
    <x v="2"/>
    <x v="0"/>
    <x v="0"/>
    <x v="0"/>
  </r>
  <r>
    <x v="8"/>
    <x v="1"/>
    <x v="5"/>
    <x v="2"/>
    <x v="1"/>
    <x v="3"/>
    <d v="2018-04-02T00:00:00"/>
    <s v="C"/>
    <s v="Not Available"/>
    <s v="Not Available"/>
    <x v="4"/>
    <x v="2"/>
    <x v="2"/>
    <x v="1"/>
    <x v="0"/>
  </r>
  <r>
    <x v="9"/>
    <x v="0"/>
    <x v="5"/>
    <x v="1"/>
    <x v="1"/>
    <x v="1"/>
    <d v="2018-04-02T00:00:00"/>
    <s v="B"/>
    <s v="Not Available"/>
    <s v="123-456-7890"/>
    <x v="4"/>
    <x v="2"/>
    <x v="2"/>
    <x v="1"/>
    <x v="0"/>
  </r>
  <r>
    <x v="5"/>
    <x v="2"/>
    <x v="3"/>
    <x v="1"/>
    <x v="0"/>
    <x v="3"/>
    <d v="2018-04-02T00:00:00"/>
    <s v="A"/>
    <s v="Not Available"/>
    <s v="098-765-4321"/>
    <x v="4"/>
    <x v="0"/>
    <x v="1"/>
    <x v="1"/>
    <x v="1"/>
  </r>
  <r>
    <x v="7"/>
    <x v="2"/>
    <x v="2"/>
    <x v="2"/>
    <x v="1"/>
    <x v="0"/>
    <d v="2018-04-02T00:00:00"/>
    <s v="F"/>
    <s v="Not Available"/>
    <s v="555-555-5555"/>
    <x v="4"/>
    <x v="2"/>
    <x v="0"/>
    <x v="0"/>
    <x v="0"/>
  </r>
  <r>
    <x v="1"/>
    <x v="4"/>
    <x v="0"/>
    <x v="1"/>
    <x v="1"/>
    <x v="0"/>
    <d v="2018-04-02T00:00:00"/>
    <s v="A"/>
    <s v="user@domain.com"/>
    <s v="555-555-5555"/>
    <x v="4"/>
    <x v="0"/>
    <x v="1"/>
    <x v="1"/>
    <x v="1"/>
  </r>
  <r>
    <x v="8"/>
    <x v="3"/>
    <x v="3"/>
    <x v="2"/>
    <x v="1"/>
    <x v="0"/>
    <d v="2018-04-02T00:00:00"/>
    <s v="F"/>
    <s v="user@domain.com"/>
    <s v="123-456-7890"/>
    <x v="4"/>
    <x v="0"/>
    <x v="0"/>
    <x v="0"/>
    <x v="0"/>
  </r>
  <r>
    <x v="1"/>
    <x v="0"/>
    <x v="1"/>
    <x v="0"/>
    <x v="1"/>
    <x v="3"/>
    <d v="2018-04-02T00:00:00"/>
    <s v="A"/>
    <s v="user@domain.com"/>
    <s v="Not Available"/>
    <x v="4"/>
    <x v="1"/>
    <x v="1"/>
    <x v="1"/>
    <x v="1"/>
  </r>
  <r>
    <x v="9"/>
    <x v="0"/>
    <x v="5"/>
    <x v="0"/>
    <x v="1"/>
    <x v="1"/>
    <d v="2018-04-02T00:00:00"/>
    <s v="A"/>
    <s v="name@company.org"/>
    <s v="Not Available"/>
    <x v="4"/>
    <x v="2"/>
    <x v="1"/>
    <x v="1"/>
    <x v="1"/>
  </r>
  <r>
    <x v="1"/>
    <x v="0"/>
    <x v="4"/>
    <x v="2"/>
    <x v="1"/>
    <x v="0"/>
    <d v="2018-04-02T00:00:00"/>
    <s v="F"/>
    <s v="name@company.org"/>
    <s v="098-765-4321"/>
    <x v="4"/>
    <x v="1"/>
    <x v="0"/>
    <x v="0"/>
    <x v="0"/>
  </r>
  <r>
    <x v="2"/>
    <x v="2"/>
    <x v="2"/>
    <x v="2"/>
    <x v="4"/>
    <x v="4"/>
    <d v="2018-04-02T00:00:00"/>
    <s v="D"/>
    <s v="Not Available"/>
    <s v="555-555-5555"/>
    <x v="4"/>
    <x v="2"/>
    <x v="0"/>
    <x v="0"/>
    <x v="0"/>
  </r>
  <r>
    <x v="3"/>
    <x v="2"/>
    <x v="4"/>
    <x v="1"/>
    <x v="3"/>
    <x v="0"/>
    <d v="2018-04-02T00:00:00"/>
    <s v="A"/>
    <s v="name@company.org"/>
    <s v="123-456-7890"/>
    <x v="4"/>
    <x v="1"/>
    <x v="1"/>
    <x v="1"/>
    <x v="1"/>
  </r>
  <r>
    <x v="2"/>
    <x v="2"/>
    <x v="2"/>
    <x v="0"/>
    <x v="3"/>
    <x v="0"/>
    <d v="2018-04-02T00:00:00"/>
    <s v="B"/>
    <s v="name@company.org"/>
    <s v="123-456-7890"/>
    <x v="4"/>
    <x v="2"/>
    <x v="2"/>
    <x v="1"/>
    <x v="0"/>
  </r>
  <r>
    <x v="1"/>
    <x v="1"/>
    <x v="3"/>
    <x v="0"/>
    <x v="3"/>
    <x v="2"/>
    <d v="2018-04-02T00:00:00"/>
    <s v="F"/>
    <s v="name@company.org"/>
    <s v="Not Available"/>
    <x v="4"/>
    <x v="0"/>
    <x v="0"/>
    <x v="0"/>
    <x v="0"/>
  </r>
  <r>
    <x v="6"/>
    <x v="4"/>
    <x v="1"/>
    <x v="1"/>
    <x v="4"/>
    <x v="4"/>
    <d v="2018-04-02T00:00:00"/>
    <s v="C"/>
    <s v="Not Available"/>
    <s v="123-456-7890"/>
    <x v="4"/>
    <x v="1"/>
    <x v="2"/>
    <x v="1"/>
    <x v="0"/>
  </r>
  <r>
    <x v="7"/>
    <x v="0"/>
    <x v="0"/>
    <x v="1"/>
    <x v="0"/>
    <x v="4"/>
    <d v="2018-04-02T00:00:00"/>
    <s v="A"/>
    <s v="Not Available"/>
    <s v="555-555-5555"/>
    <x v="4"/>
    <x v="0"/>
    <x v="1"/>
    <x v="1"/>
    <x v="1"/>
  </r>
  <r>
    <x v="9"/>
    <x v="1"/>
    <x v="4"/>
    <x v="2"/>
    <x v="1"/>
    <x v="1"/>
    <d v="2018-04-02T00:00:00"/>
    <s v="B"/>
    <s v="name@company.org"/>
    <s v="Not Available"/>
    <x v="4"/>
    <x v="1"/>
    <x v="2"/>
    <x v="1"/>
    <x v="0"/>
  </r>
  <r>
    <x v="1"/>
    <x v="0"/>
    <x v="1"/>
    <x v="2"/>
    <x v="4"/>
    <x v="0"/>
    <d v="2018-04-02T00:00:00"/>
    <s v="D"/>
    <s v="email@example.com"/>
    <s v="555-555-5555"/>
    <x v="4"/>
    <x v="1"/>
    <x v="0"/>
    <x v="0"/>
    <x v="0"/>
  </r>
  <r>
    <x v="5"/>
    <x v="3"/>
    <x v="4"/>
    <x v="2"/>
    <x v="4"/>
    <x v="2"/>
    <d v="2018-04-02T00:00:00"/>
    <s v="B"/>
    <s v="Not Available"/>
    <s v="Not Available"/>
    <x v="4"/>
    <x v="1"/>
    <x v="2"/>
    <x v="1"/>
    <x v="0"/>
  </r>
  <r>
    <x v="6"/>
    <x v="3"/>
    <x v="0"/>
    <x v="2"/>
    <x v="1"/>
    <x v="0"/>
    <d v="2018-04-02T00:00:00"/>
    <s v="F"/>
    <s v="name@company.org"/>
    <s v="555-555-5555"/>
    <x v="4"/>
    <x v="0"/>
    <x v="0"/>
    <x v="0"/>
    <x v="0"/>
  </r>
  <r>
    <x v="4"/>
    <x v="0"/>
    <x v="2"/>
    <x v="2"/>
    <x v="2"/>
    <x v="4"/>
    <d v="2018-04-02T00:00:00"/>
    <s v="D"/>
    <s v="email@example.com"/>
    <s v="Not Available"/>
    <x v="4"/>
    <x v="2"/>
    <x v="0"/>
    <x v="0"/>
    <x v="0"/>
  </r>
  <r>
    <x v="6"/>
    <x v="2"/>
    <x v="4"/>
    <x v="2"/>
    <x v="3"/>
    <x v="2"/>
    <d v="2018-04-02T00:00:00"/>
    <s v="F"/>
    <s v="email@example.com"/>
    <s v="555-555-5555"/>
    <x v="4"/>
    <x v="1"/>
    <x v="0"/>
    <x v="0"/>
    <x v="0"/>
  </r>
  <r>
    <x v="6"/>
    <x v="3"/>
    <x v="3"/>
    <x v="2"/>
    <x v="0"/>
    <x v="4"/>
    <d v="2018-04-02T00:00:00"/>
    <s v="A"/>
    <s v="user@domain.com"/>
    <s v="555-555-5555"/>
    <x v="4"/>
    <x v="0"/>
    <x v="1"/>
    <x v="1"/>
    <x v="1"/>
  </r>
  <r>
    <x v="0"/>
    <x v="4"/>
    <x v="2"/>
    <x v="0"/>
    <x v="4"/>
    <x v="4"/>
    <d v="2018-04-02T00:00:00"/>
    <s v="B"/>
    <s v="Not Available"/>
    <s v="098-765-4321"/>
    <x v="4"/>
    <x v="2"/>
    <x v="2"/>
    <x v="1"/>
    <x v="0"/>
  </r>
  <r>
    <x v="5"/>
    <x v="1"/>
    <x v="1"/>
    <x v="0"/>
    <x v="3"/>
    <x v="1"/>
    <d v="2018-04-02T00:00:00"/>
    <s v="C"/>
    <s v="email@example.com"/>
    <s v="123-456-7890"/>
    <x v="4"/>
    <x v="1"/>
    <x v="2"/>
    <x v="1"/>
    <x v="0"/>
  </r>
  <r>
    <x v="2"/>
    <x v="3"/>
    <x v="0"/>
    <x v="0"/>
    <x v="2"/>
    <x v="2"/>
    <d v="2018-04-02T00:00:00"/>
    <s v="A"/>
    <s v="Not Available"/>
    <s v="098-765-4321"/>
    <x v="4"/>
    <x v="0"/>
    <x v="1"/>
    <x v="1"/>
    <x v="1"/>
  </r>
  <r>
    <x v="1"/>
    <x v="3"/>
    <x v="0"/>
    <x v="1"/>
    <x v="0"/>
    <x v="0"/>
    <d v="2018-04-02T00:00:00"/>
    <s v="D"/>
    <s v="Not Available"/>
    <s v="Not Available"/>
    <x v="4"/>
    <x v="0"/>
    <x v="0"/>
    <x v="0"/>
    <x v="0"/>
  </r>
  <r>
    <x v="0"/>
    <x v="3"/>
    <x v="3"/>
    <x v="0"/>
    <x v="3"/>
    <x v="1"/>
    <d v="2018-04-02T00:00:00"/>
    <s v="D"/>
    <s v="email@example.com"/>
    <s v="123-456-7890"/>
    <x v="4"/>
    <x v="0"/>
    <x v="0"/>
    <x v="0"/>
    <x v="0"/>
  </r>
  <r>
    <x v="9"/>
    <x v="2"/>
    <x v="3"/>
    <x v="2"/>
    <x v="2"/>
    <x v="2"/>
    <d v="2018-04-02T00:00:00"/>
    <s v="A"/>
    <s v="email@example.com"/>
    <s v="555-555-5555"/>
    <x v="4"/>
    <x v="0"/>
    <x v="1"/>
    <x v="1"/>
    <x v="1"/>
  </r>
  <r>
    <x v="9"/>
    <x v="0"/>
    <x v="0"/>
    <x v="1"/>
    <x v="3"/>
    <x v="1"/>
    <d v="2018-04-02T00:00:00"/>
    <s v="F"/>
    <s v="email@example.com"/>
    <s v="098-765-4321"/>
    <x v="4"/>
    <x v="0"/>
    <x v="0"/>
    <x v="0"/>
    <x v="0"/>
  </r>
  <r>
    <x v="1"/>
    <x v="0"/>
    <x v="2"/>
    <x v="1"/>
    <x v="2"/>
    <x v="4"/>
    <d v="2018-04-02T00:00:00"/>
    <s v="B"/>
    <s v="Not Available"/>
    <s v="Not Available"/>
    <x v="4"/>
    <x v="2"/>
    <x v="2"/>
    <x v="1"/>
    <x v="0"/>
  </r>
  <r>
    <x v="1"/>
    <x v="2"/>
    <x v="4"/>
    <x v="0"/>
    <x v="0"/>
    <x v="1"/>
    <d v="2018-04-02T00:00:00"/>
    <s v="D"/>
    <s v="email@example.com"/>
    <s v="555-555-5555"/>
    <x v="4"/>
    <x v="1"/>
    <x v="0"/>
    <x v="0"/>
    <x v="0"/>
  </r>
  <r>
    <x v="2"/>
    <x v="0"/>
    <x v="0"/>
    <x v="1"/>
    <x v="1"/>
    <x v="1"/>
    <d v="2018-04-02T00:00:00"/>
    <s v="B"/>
    <s v="email@example.com"/>
    <s v="555-555-5555"/>
    <x v="4"/>
    <x v="0"/>
    <x v="2"/>
    <x v="1"/>
    <x v="0"/>
  </r>
  <r>
    <x v="5"/>
    <x v="2"/>
    <x v="4"/>
    <x v="1"/>
    <x v="3"/>
    <x v="2"/>
    <d v="2018-04-02T00:00:00"/>
    <s v="A"/>
    <s v="user@domain.com"/>
    <s v="098-765-4321"/>
    <x v="4"/>
    <x v="1"/>
    <x v="1"/>
    <x v="1"/>
    <x v="1"/>
  </r>
  <r>
    <x v="0"/>
    <x v="0"/>
    <x v="3"/>
    <x v="1"/>
    <x v="4"/>
    <x v="0"/>
    <d v="2018-04-02T00:00:00"/>
    <s v="C"/>
    <s v="name@company.org"/>
    <s v="Not Available"/>
    <x v="4"/>
    <x v="0"/>
    <x v="2"/>
    <x v="1"/>
    <x v="0"/>
  </r>
  <r>
    <x v="3"/>
    <x v="2"/>
    <x v="1"/>
    <x v="1"/>
    <x v="4"/>
    <x v="3"/>
    <d v="2018-04-02T00:00:00"/>
    <s v="C"/>
    <s v="user@domain.com"/>
    <s v="098-765-4321"/>
    <x v="4"/>
    <x v="1"/>
    <x v="2"/>
    <x v="1"/>
    <x v="0"/>
  </r>
  <r>
    <x v="5"/>
    <x v="0"/>
    <x v="0"/>
    <x v="2"/>
    <x v="2"/>
    <x v="3"/>
    <d v="2018-04-02T00:00:00"/>
    <s v="B"/>
    <s v="user@domain.com"/>
    <s v="555-555-5555"/>
    <x v="4"/>
    <x v="0"/>
    <x v="2"/>
    <x v="1"/>
    <x v="0"/>
  </r>
  <r>
    <x v="2"/>
    <x v="0"/>
    <x v="5"/>
    <x v="2"/>
    <x v="0"/>
    <x v="2"/>
    <d v="2018-04-02T00:00:00"/>
    <s v="C"/>
    <s v="Not Available"/>
    <s v="Not Available"/>
    <x v="4"/>
    <x v="2"/>
    <x v="2"/>
    <x v="1"/>
    <x v="0"/>
  </r>
  <r>
    <x v="0"/>
    <x v="1"/>
    <x v="0"/>
    <x v="2"/>
    <x v="3"/>
    <x v="4"/>
    <d v="2018-04-02T00:00:00"/>
    <s v="D"/>
    <s v="email@example.com"/>
    <s v="555-555-5555"/>
    <x v="4"/>
    <x v="0"/>
    <x v="0"/>
    <x v="0"/>
    <x v="0"/>
  </r>
  <r>
    <x v="3"/>
    <x v="0"/>
    <x v="5"/>
    <x v="2"/>
    <x v="2"/>
    <x v="1"/>
    <d v="2018-04-02T00:00:00"/>
    <s v="B"/>
    <s v="Not Available"/>
    <s v="Not Available"/>
    <x v="4"/>
    <x v="2"/>
    <x v="2"/>
    <x v="1"/>
    <x v="0"/>
  </r>
  <r>
    <x v="4"/>
    <x v="1"/>
    <x v="1"/>
    <x v="2"/>
    <x v="0"/>
    <x v="0"/>
    <d v="2018-04-02T00:00:00"/>
    <s v="B"/>
    <s v="Not Available"/>
    <s v="Not Available"/>
    <x v="4"/>
    <x v="1"/>
    <x v="2"/>
    <x v="1"/>
    <x v="0"/>
  </r>
  <r>
    <x v="1"/>
    <x v="3"/>
    <x v="4"/>
    <x v="1"/>
    <x v="0"/>
    <x v="1"/>
    <d v="2018-04-02T00:00:00"/>
    <s v="C"/>
    <s v="Not Available"/>
    <s v="098-765-4321"/>
    <x v="4"/>
    <x v="1"/>
    <x v="2"/>
    <x v="1"/>
    <x v="0"/>
  </r>
  <r>
    <x v="4"/>
    <x v="4"/>
    <x v="3"/>
    <x v="2"/>
    <x v="3"/>
    <x v="4"/>
    <d v="2018-04-02T00:00:00"/>
    <s v="F"/>
    <s v="email@example.com"/>
    <s v="Not Available"/>
    <x v="4"/>
    <x v="0"/>
    <x v="0"/>
    <x v="0"/>
    <x v="0"/>
  </r>
  <r>
    <x v="3"/>
    <x v="1"/>
    <x v="0"/>
    <x v="1"/>
    <x v="0"/>
    <x v="2"/>
    <d v="2018-04-02T00:00:00"/>
    <s v="B"/>
    <s v="email@example.com"/>
    <s v="555-555-5555"/>
    <x v="4"/>
    <x v="0"/>
    <x v="2"/>
    <x v="1"/>
    <x v="0"/>
  </r>
  <r>
    <x v="0"/>
    <x v="0"/>
    <x v="2"/>
    <x v="1"/>
    <x v="0"/>
    <x v="1"/>
    <d v="2018-04-02T00:00:00"/>
    <s v="C"/>
    <s v="user@domain.com"/>
    <s v="123-456-7890"/>
    <x v="4"/>
    <x v="2"/>
    <x v="2"/>
    <x v="1"/>
    <x v="0"/>
  </r>
  <r>
    <x v="5"/>
    <x v="4"/>
    <x v="3"/>
    <x v="0"/>
    <x v="3"/>
    <x v="4"/>
    <d v="2018-04-02T00:00:00"/>
    <s v="D"/>
    <s v="Not Available"/>
    <s v="Not Available"/>
    <x v="4"/>
    <x v="0"/>
    <x v="0"/>
    <x v="0"/>
    <x v="0"/>
  </r>
  <r>
    <x v="2"/>
    <x v="0"/>
    <x v="2"/>
    <x v="2"/>
    <x v="4"/>
    <x v="2"/>
    <d v="2018-04-02T00:00:00"/>
    <s v="B"/>
    <s v="name@company.org"/>
    <s v="098-765-4321"/>
    <x v="4"/>
    <x v="2"/>
    <x v="2"/>
    <x v="1"/>
    <x v="0"/>
  </r>
  <r>
    <x v="6"/>
    <x v="0"/>
    <x v="5"/>
    <x v="2"/>
    <x v="4"/>
    <x v="4"/>
    <d v="2018-04-02T00:00:00"/>
    <s v="C"/>
    <s v="Not Available"/>
    <s v="098-765-4321"/>
    <x v="4"/>
    <x v="2"/>
    <x v="2"/>
    <x v="1"/>
    <x v="0"/>
  </r>
  <r>
    <x v="7"/>
    <x v="4"/>
    <x v="0"/>
    <x v="1"/>
    <x v="2"/>
    <x v="2"/>
    <d v="2018-04-02T00:00:00"/>
    <s v="B"/>
    <s v="email@example.com"/>
    <s v="Not Available"/>
    <x v="4"/>
    <x v="0"/>
    <x v="2"/>
    <x v="1"/>
    <x v="0"/>
  </r>
  <r>
    <x v="1"/>
    <x v="1"/>
    <x v="0"/>
    <x v="1"/>
    <x v="3"/>
    <x v="2"/>
    <d v="2018-04-02T00:00:00"/>
    <s v="D"/>
    <s v="Not Available"/>
    <s v="555-555-5555"/>
    <x v="4"/>
    <x v="0"/>
    <x v="0"/>
    <x v="0"/>
    <x v="0"/>
  </r>
  <r>
    <x v="8"/>
    <x v="0"/>
    <x v="0"/>
    <x v="0"/>
    <x v="2"/>
    <x v="4"/>
    <d v="2018-04-02T00:00:00"/>
    <s v="F"/>
    <s v="email@example.com"/>
    <s v="Not Available"/>
    <x v="4"/>
    <x v="0"/>
    <x v="0"/>
    <x v="0"/>
    <x v="0"/>
  </r>
  <r>
    <x v="4"/>
    <x v="0"/>
    <x v="0"/>
    <x v="0"/>
    <x v="0"/>
    <x v="2"/>
    <d v="2018-04-02T00:00:00"/>
    <s v="C"/>
    <s v="Not Available"/>
    <s v="Not Available"/>
    <x v="4"/>
    <x v="0"/>
    <x v="2"/>
    <x v="1"/>
    <x v="0"/>
  </r>
  <r>
    <x v="7"/>
    <x v="0"/>
    <x v="2"/>
    <x v="2"/>
    <x v="2"/>
    <x v="3"/>
    <d v="2018-04-02T00:00:00"/>
    <s v="C"/>
    <s v="Not Available"/>
    <s v="Not Available"/>
    <x v="4"/>
    <x v="2"/>
    <x v="2"/>
    <x v="1"/>
    <x v="0"/>
  </r>
  <r>
    <x v="4"/>
    <x v="3"/>
    <x v="1"/>
    <x v="2"/>
    <x v="4"/>
    <x v="4"/>
    <d v="2018-04-02T00:00:00"/>
    <s v="B"/>
    <s v="Not Available"/>
    <s v="Not Available"/>
    <x v="4"/>
    <x v="1"/>
    <x v="2"/>
    <x v="1"/>
    <x v="0"/>
  </r>
  <r>
    <x v="7"/>
    <x v="0"/>
    <x v="0"/>
    <x v="2"/>
    <x v="3"/>
    <x v="0"/>
    <d v="2018-04-02T00:00:00"/>
    <s v="F"/>
    <s v="email@example.com"/>
    <s v="123-456-7890"/>
    <x v="4"/>
    <x v="0"/>
    <x v="0"/>
    <x v="0"/>
    <x v="0"/>
  </r>
  <r>
    <x v="8"/>
    <x v="1"/>
    <x v="4"/>
    <x v="0"/>
    <x v="0"/>
    <x v="1"/>
    <d v="2018-04-02T00:00:00"/>
    <s v="B"/>
    <s v="user@domain.com"/>
    <s v="123-456-7890"/>
    <x v="4"/>
    <x v="1"/>
    <x v="2"/>
    <x v="1"/>
    <x v="0"/>
  </r>
  <r>
    <x v="3"/>
    <x v="0"/>
    <x v="4"/>
    <x v="1"/>
    <x v="3"/>
    <x v="3"/>
    <d v="2018-04-02T00:00:00"/>
    <s v="F"/>
    <s v="Not Available"/>
    <s v="123-456-7890"/>
    <x v="4"/>
    <x v="1"/>
    <x v="0"/>
    <x v="0"/>
    <x v="0"/>
  </r>
  <r>
    <x v="2"/>
    <x v="1"/>
    <x v="5"/>
    <x v="2"/>
    <x v="1"/>
    <x v="1"/>
    <d v="2018-04-02T00:00:00"/>
    <s v="B"/>
    <s v="name@company.org"/>
    <s v="Not Available"/>
    <x v="4"/>
    <x v="2"/>
    <x v="2"/>
    <x v="1"/>
    <x v="0"/>
  </r>
  <r>
    <x v="0"/>
    <x v="1"/>
    <x v="3"/>
    <x v="0"/>
    <x v="4"/>
    <x v="4"/>
    <d v="2018-04-02T00:00:00"/>
    <s v="B"/>
    <s v="name@company.org"/>
    <s v="123-456-7890"/>
    <x v="4"/>
    <x v="0"/>
    <x v="2"/>
    <x v="1"/>
    <x v="0"/>
  </r>
  <r>
    <x v="0"/>
    <x v="4"/>
    <x v="5"/>
    <x v="2"/>
    <x v="2"/>
    <x v="3"/>
    <d v="2018-04-02T00:00:00"/>
    <s v="B"/>
    <s v="name@company.org"/>
    <s v="Not Available"/>
    <x v="4"/>
    <x v="2"/>
    <x v="2"/>
    <x v="1"/>
    <x v="0"/>
  </r>
  <r>
    <x v="6"/>
    <x v="3"/>
    <x v="3"/>
    <x v="2"/>
    <x v="4"/>
    <x v="3"/>
    <d v="2018-04-02T00:00:00"/>
    <s v="B"/>
    <s v="user@domain.com"/>
    <s v="Not Available"/>
    <x v="4"/>
    <x v="0"/>
    <x v="2"/>
    <x v="1"/>
    <x v="0"/>
  </r>
  <r>
    <x v="0"/>
    <x v="2"/>
    <x v="2"/>
    <x v="1"/>
    <x v="1"/>
    <x v="3"/>
    <d v="2018-04-02T00:00:00"/>
    <s v="D"/>
    <s v="email@example.com"/>
    <s v="123-456-7890"/>
    <x v="4"/>
    <x v="2"/>
    <x v="0"/>
    <x v="0"/>
    <x v="0"/>
  </r>
  <r>
    <x v="6"/>
    <x v="3"/>
    <x v="1"/>
    <x v="1"/>
    <x v="0"/>
    <x v="2"/>
    <d v="2018-04-02T00:00:00"/>
    <s v="B"/>
    <s v="Not Available"/>
    <s v="Not Available"/>
    <x v="4"/>
    <x v="1"/>
    <x v="2"/>
    <x v="1"/>
    <x v="0"/>
  </r>
  <r>
    <x v="9"/>
    <x v="4"/>
    <x v="2"/>
    <x v="2"/>
    <x v="0"/>
    <x v="0"/>
    <d v="2018-04-02T00:00:00"/>
    <s v="B"/>
    <s v="Not Available"/>
    <s v="123-456-7890"/>
    <x v="4"/>
    <x v="2"/>
    <x v="2"/>
    <x v="1"/>
    <x v="0"/>
  </r>
  <r>
    <x v="7"/>
    <x v="1"/>
    <x v="5"/>
    <x v="2"/>
    <x v="0"/>
    <x v="2"/>
    <d v="2018-04-02T00:00:00"/>
    <s v="C"/>
    <s v="name@company.org"/>
    <s v="123-456-7890"/>
    <x v="4"/>
    <x v="2"/>
    <x v="2"/>
    <x v="1"/>
    <x v="0"/>
  </r>
  <r>
    <x v="1"/>
    <x v="2"/>
    <x v="2"/>
    <x v="2"/>
    <x v="1"/>
    <x v="1"/>
    <d v="2018-04-02T00:00:00"/>
    <s v="A"/>
    <s v="user@domain.com"/>
    <s v="098-765-4321"/>
    <x v="4"/>
    <x v="2"/>
    <x v="1"/>
    <x v="1"/>
    <x v="1"/>
  </r>
  <r>
    <x v="2"/>
    <x v="2"/>
    <x v="2"/>
    <x v="2"/>
    <x v="3"/>
    <x v="4"/>
    <d v="2018-04-02T00:00:00"/>
    <s v="D"/>
    <s v="Not Available"/>
    <s v="123-456-7890"/>
    <x v="4"/>
    <x v="2"/>
    <x v="0"/>
    <x v="0"/>
    <x v="0"/>
  </r>
  <r>
    <x v="3"/>
    <x v="2"/>
    <x v="4"/>
    <x v="1"/>
    <x v="4"/>
    <x v="3"/>
    <d v="2018-04-02T00:00:00"/>
    <s v="D"/>
    <s v="Not Available"/>
    <s v="Not Available"/>
    <x v="4"/>
    <x v="1"/>
    <x v="0"/>
    <x v="0"/>
    <x v="0"/>
  </r>
  <r>
    <x v="7"/>
    <x v="4"/>
    <x v="2"/>
    <x v="0"/>
    <x v="2"/>
    <x v="3"/>
    <d v="2018-04-02T00:00:00"/>
    <s v="A"/>
    <s v="Not Available"/>
    <s v="Not Available"/>
    <x v="4"/>
    <x v="2"/>
    <x v="1"/>
    <x v="1"/>
    <x v="1"/>
  </r>
  <r>
    <x v="4"/>
    <x v="0"/>
    <x v="2"/>
    <x v="1"/>
    <x v="4"/>
    <x v="2"/>
    <d v="2018-04-02T00:00:00"/>
    <s v="F"/>
    <s v="name@company.org"/>
    <s v="555-555-5555"/>
    <x v="4"/>
    <x v="2"/>
    <x v="0"/>
    <x v="0"/>
    <x v="0"/>
  </r>
  <r>
    <x v="5"/>
    <x v="0"/>
    <x v="1"/>
    <x v="1"/>
    <x v="2"/>
    <x v="0"/>
    <d v="2018-04-02T00:00:00"/>
    <s v="B"/>
    <s v="email@example.com"/>
    <s v="123-456-7890"/>
    <x v="4"/>
    <x v="1"/>
    <x v="2"/>
    <x v="1"/>
    <x v="0"/>
  </r>
  <r>
    <x v="4"/>
    <x v="0"/>
    <x v="3"/>
    <x v="0"/>
    <x v="4"/>
    <x v="3"/>
    <d v="2018-04-02T00:00:00"/>
    <s v="C"/>
    <s v="email@example.com"/>
    <s v="098-765-4321"/>
    <x v="4"/>
    <x v="0"/>
    <x v="2"/>
    <x v="1"/>
    <x v="0"/>
  </r>
  <r>
    <x v="1"/>
    <x v="3"/>
    <x v="0"/>
    <x v="0"/>
    <x v="3"/>
    <x v="2"/>
    <d v="2018-04-02T00:00:00"/>
    <s v="C"/>
    <s v="name@company.org"/>
    <s v="555-555-5555"/>
    <x v="4"/>
    <x v="0"/>
    <x v="2"/>
    <x v="1"/>
    <x v="0"/>
  </r>
  <r>
    <x v="0"/>
    <x v="4"/>
    <x v="4"/>
    <x v="1"/>
    <x v="3"/>
    <x v="0"/>
    <d v="2018-04-02T00:00:00"/>
    <s v="C"/>
    <s v="user@domain.com"/>
    <s v="Not Available"/>
    <x v="4"/>
    <x v="1"/>
    <x v="2"/>
    <x v="1"/>
    <x v="0"/>
  </r>
  <r>
    <x v="0"/>
    <x v="3"/>
    <x v="0"/>
    <x v="1"/>
    <x v="2"/>
    <x v="3"/>
    <d v="2018-04-02T00:00:00"/>
    <s v="B"/>
    <s v="name@company.org"/>
    <s v="123-456-7890"/>
    <x v="4"/>
    <x v="0"/>
    <x v="2"/>
    <x v="1"/>
    <x v="0"/>
  </r>
  <r>
    <x v="8"/>
    <x v="0"/>
    <x v="4"/>
    <x v="1"/>
    <x v="0"/>
    <x v="0"/>
    <d v="2018-04-02T00:00:00"/>
    <s v="A"/>
    <s v="email@example.com"/>
    <s v="123-456-7890"/>
    <x v="4"/>
    <x v="1"/>
    <x v="1"/>
    <x v="1"/>
    <x v="1"/>
  </r>
  <r>
    <x v="4"/>
    <x v="1"/>
    <x v="4"/>
    <x v="0"/>
    <x v="0"/>
    <x v="3"/>
    <d v="2018-04-02T00:00:00"/>
    <s v="B"/>
    <s v="Not Available"/>
    <s v="Not Available"/>
    <x v="4"/>
    <x v="1"/>
    <x v="2"/>
    <x v="1"/>
    <x v="0"/>
  </r>
  <r>
    <x v="0"/>
    <x v="0"/>
    <x v="4"/>
    <x v="0"/>
    <x v="4"/>
    <x v="0"/>
    <d v="2018-04-02T00:00:00"/>
    <s v="A"/>
    <s v="email@example.com"/>
    <s v="123-456-7890"/>
    <x v="4"/>
    <x v="1"/>
    <x v="1"/>
    <x v="1"/>
    <x v="1"/>
  </r>
  <r>
    <x v="6"/>
    <x v="1"/>
    <x v="3"/>
    <x v="2"/>
    <x v="1"/>
    <x v="1"/>
    <d v="2018-04-02T00:00:00"/>
    <s v="A"/>
    <s v="Not Available"/>
    <s v="Not Available"/>
    <x v="4"/>
    <x v="0"/>
    <x v="1"/>
    <x v="1"/>
    <x v="1"/>
  </r>
  <r>
    <x v="3"/>
    <x v="2"/>
    <x v="4"/>
    <x v="1"/>
    <x v="2"/>
    <x v="0"/>
    <d v="2018-04-02T00:00:00"/>
    <s v="A"/>
    <s v="Not Available"/>
    <s v="123-456-7890"/>
    <x v="4"/>
    <x v="1"/>
    <x v="1"/>
    <x v="1"/>
    <x v="1"/>
  </r>
  <r>
    <x v="1"/>
    <x v="0"/>
    <x v="1"/>
    <x v="0"/>
    <x v="1"/>
    <x v="0"/>
    <d v="2018-04-02T00:00:00"/>
    <s v="B"/>
    <s v="Not Available"/>
    <s v="Not Available"/>
    <x v="4"/>
    <x v="1"/>
    <x v="2"/>
    <x v="1"/>
    <x v="0"/>
  </r>
  <r>
    <x v="7"/>
    <x v="0"/>
    <x v="1"/>
    <x v="1"/>
    <x v="0"/>
    <x v="4"/>
    <d v="2018-04-02T00:00:00"/>
    <s v="B"/>
    <s v="Not Available"/>
    <s v="123-456-7890"/>
    <x v="4"/>
    <x v="1"/>
    <x v="2"/>
    <x v="1"/>
    <x v="0"/>
  </r>
  <r>
    <x v="4"/>
    <x v="1"/>
    <x v="5"/>
    <x v="0"/>
    <x v="4"/>
    <x v="2"/>
    <d v="2018-04-02T00:00:00"/>
    <s v="A"/>
    <s v="Not Available"/>
    <s v="Not Available"/>
    <x v="4"/>
    <x v="2"/>
    <x v="1"/>
    <x v="1"/>
    <x v="1"/>
  </r>
  <r>
    <x v="3"/>
    <x v="1"/>
    <x v="5"/>
    <x v="2"/>
    <x v="0"/>
    <x v="3"/>
    <d v="2018-04-02T00:00:00"/>
    <s v="C"/>
    <s v="Not Available"/>
    <s v="555-555-5555"/>
    <x v="4"/>
    <x v="2"/>
    <x v="2"/>
    <x v="1"/>
    <x v="0"/>
  </r>
  <r>
    <x v="6"/>
    <x v="2"/>
    <x v="0"/>
    <x v="1"/>
    <x v="4"/>
    <x v="2"/>
    <d v="2018-04-02T00:00:00"/>
    <s v="D"/>
    <s v="email@example.com"/>
    <s v="Not Available"/>
    <x v="4"/>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9" cacheId="2" applyNumberFormats="0" applyBorderFormats="0" applyFontFormats="0" applyPatternFormats="0" applyAlignmentFormats="0" applyWidthHeightFormats="1" dataCaption="Values" updatedVersion="8" minRefreshableVersion="3" showCalcMbrs="0" useAutoFormatting="1" colGrandTotals="0" itemPrintTitles="1" createdVersion="3" indent="0" outline="1" outlineData="1" multipleFieldFilters="0" chartFormat="5" rowHeaderCaption="Departments">
  <location ref="F14:H21" firstHeaderRow="1" firstDataRow="2" firstDataCol="1"/>
  <pivotFields count="15">
    <pivotField dataField="1" showAll="0"/>
    <pivotField showAll="0"/>
    <pivotField showAll="0"/>
    <pivotField showAll="0">
      <items count="4">
        <item x="0"/>
        <item x="2"/>
        <item x="1"/>
        <item t="default"/>
      </items>
    </pivotField>
    <pivotField axis="axisRow" showAll="0">
      <items count="6">
        <item x="0"/>
        <item x="1"/>
        <item x="2"/>
        <item x="4"/>
        <item x="3"/>
        <item t="default"/>
      </items>
    </pivotField>
    <pivotField showAll="0"/>
    <pivotField numFmtId="14" showAll="0"/>
    <pivotField showAll="0"/>
    <pivotField showAll="0"/>
    <pivotField showAll="0"/>
    <pivotField numFmtId="164" showAll="0">
      <items count="5">
        <item x="0"/>
        <item x="1"/>
        <item x="2"/>
        <item x="3"/>
        <item t="default"/>
      </items>
    </pivotField>
    <pivotField showAll="0">
      <items count="4">
        <item x="0"/>
        <item x="1"/>
        <item x="2"/>
        <item t="default"/>
      </items>
    </pivotField>
    <pivotField showAll="0">
      <items count="4">
        <item x="1"/>
        <item x="0"/>
        <item x="2"/>
        <item t="default"/>
      </items>
    </pivotField>
    <pivotField axis="axisCol" showAll="0">
      <items count="3">
        <item x="1"/>
        <item x="0"/>
        <item t="default"/>
      </items>
    </pivotField>
    <pivotField showAll="0"/>
  </pivotFields>
  <rowFields count="1">
    <field x="4"/>
  </rowFields>
  <rowItems count="6">
    <i>
      <x/>
    </i>
    <i>
      <x v="1"/>
    </i>
    <i>
      <x v="2"/>
    </i>
    <i>
      <x v="3"/>
    </i>
    <i>
      <x v="4"/>
    </i>
    <i t="grand">
      <x/>
    </i>
  </rowItems>
  <colFields count="1">
    <field x="13"/>
  </colFields>
  <colItems count="2">
    <i>
      <x/>
    </i>
    <i>
      <x v="1"/>
    </i>
  </colItems>
  <dataFields count="1">
    <dataField name="Count of Name" fld="0" subtotal="count" showDataAs="percentOfTotal" baseField="0" baseItem="0" numFmtId="10"/>
  </dataFields>
  <formats count="2">
    <format dxfId="1">
      <pivotArea type="all" dataOnly="0" outline="0" fieldPosition="0"/>
    </format>
    <format dxfId="0">
      <pivotArea outline="0" fieldPosition="0">
        <references count="1">
          <reference field="4294967294" count="1">
            <x v="0"/>
          </reference>
        </references>
      </pivotArea>
    </format>
  </formats>
  <chartFormats count="3">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2" cacheId="2" applyNumberFormats="0" applyBorderFormats="0" applyFontFormats="0" applyPatternFormats="0" applyAlignmentFormats="0" applyWidthHeightFormats="1" dataCaption="Values" updatedVersion="8" minRefreshableVersion="3" showCalcMbrs="0" useAutoFormatting="1" colGrandTotals="0" itemPrintTitles="1" createdVersion="3" indent="0" outline="1" outlineData="1" multipleFieldFilters="0" chartFormat="17" rowHeaderCaption="Departments">
  <location ref="Q3:T10" firstHeaderRow="1" firstDataRow="2" firstDataCol="1"/>
  <pivotFields count="15">
    <pivotField dataField="1" showAll="0"/>
    <pivotField showAll="0"/>
    <pivotField showAll="0"/>
    <pivotField axis="axisCol" showAll="0">
      <items count="4">
        <item x="0"/>
        <item x="2"/>
        <item x="1"/>
        <item t="default"/>
      </items>
    </pivotField>
    <pivotField axis="axisRow" showAll="0">
      <items count="6">
        <item x="0"/>
        <item x="1"/>
        <item x="2"/>
        <item x="4"/>
        <item x="3"/>
        <item t="default"/>
      </items>
    </pivotField>
    <pivotField showAll="0">
      <items count="6">
        <item x="3"/>
        <item x="1"/>
        <item x="4"/>
        <item x="0"/>
        <item x="2"/>
        <item t="default"/>
      </items>
    </pivotField>
    <pivotField numFmtId="14" showAll="0"/>
    <pivotField showAll="0"/>
    <pivotField showAll="0"/>
    <pivotField showAll="0"/>
    <pivotField numFmtId="164" showAll="0">
      <items count="5">
        <item x="0"/>
        <item x="1"/>
        <item x="2"/>
        <item x="3"/>
        <item t="default"/>
      </items>
    </pivotField>
    <pivotField showAll="0">
      <items count="4">
        <item x="0"/>
        <item x="1"/>
        <item x="2"/>
        <item t="default"/>
      </items>
    </pivotField>
    <pivotField showAll="0">
      <items count="4">
        <item x="1"/>
        <item x="0"/>
        <item x="2"/>
        <item t="default"/>
      </items>
    </pivotField>
    <pivotField showAll="0">
      <items count="3">
        <item x="1"/>
        <item x="0"/>
        <item t="default"/>
      </items>
    </pivotField>
    <pivotField showAll="0">
      <items count="3">
        <item x="1"/>
        <item x="0"/>
        <item t="default"/>
      </items>
    </pivotField>
  </pivotFields>
  <rowFields count="1">
    <field x="4"/>
  </rowFields>
  <rowItems count="6">
    <i>
      <x/>
    </i>
    <i>
      <x v="1"/>
    </i>
    <i>
      <x v="2"/>
    </i>
    <i>
      <x v="3"/>
    </i>
    <i>
      <x v="4"/>
    </i>
    <i t="grand">
      <x/>
    </i>
  </rowItems>
  <colFields count="1">
    <field x="3"/>
  </colFields>
  <colItems count="3">
    <i>
      <x/>
    </i>
    <i>
      <x v="1"/>
    </i>
    <i>
      <x v="2"/>
    </i>
  </colItems>
  <dataFields count="1">
    <dataField name="Count of Name" fld="0" subtotal="count" baseField="0" baseItem="0"/>
  </dataFields>
  <formats count="1">
    <format dxfId="2">
      <pivotArea type="all" dataOnly="0" outline="0" fieldPosition="0"/>
    </format>
  </formats>
  <chartFormats count="4">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7" cacheId="2" applyNumberFormats="0" applyBorderFormats="0" applyFontFormats="0" applyPatternFormats="0" applyAlignmentFormats="0" applyWidthHeightFormats="1" dataCaption="Values" updatedVersion="8" minRefreshableVersion="3" showCalcMbrs="0" useAutoFormatting="1" colGrandTotals="0" itemPrintTitles="1" createdVersion="3" indent="0" outline="1" outlineData="1" multipleFieldFilters="0" chartFormat="5" rowHeaderCaption="Performance level">
  <location ref="J14:L19" firstHeaderRow="1" firstDataRow="2" firstDataCol="1"/>
  <pivotFields count="15">
    <pivotField dataField="1" showAll="0"/>
    <pivotField showAll="0"/>
    <pivotField showAll="0"/>
    <pivotField showAll="0">
      <items count="4">
        <item x="0"/>
        <item x="2"/>
        <item x="1"/>
        <item t="default"/>
      </items>
    </pivotField>
    <pivotField showAll="0">
      <items count="6">
        <item x="0"/>
        <item x="1"/>
        <item x="2"/>
        <item x="4"/>
        <item x="3"/>
        <item t="default"/>
      </items>
    </pivotField>
    <pivotField showAll="0"/>
    <pivotField numFmtId="14" showAll="0"/>
    <pivotField showAll="0"/>
    <pivotField showAll="0"/>
    <pivotField showAll="0"/>
    <pivotField numFmtId="164" showAll="0">
      <items count="5">
        <item x="0"/>
        <item x="1"/>
        <item x="2"/>
        <item x="3"/>
        <item t="default"/>
      </items>
    </pivotField>
    <pivotField showAll="0">
      <items count="4">
        <item x="0"/>
        <item x="1"/>
        <item x="2"/>
        <item t="default"/>
      </items>
    </pivotField>
    <pivotField axis="axisRow" showAll="0">
      <items count="4">
        <item x="1"/>
        <item x="0"/>
        <item x="2"/>
        <item t="default"/>
      </items>
    </pivotField>
    <pivotField axis="axisCol" showAll="0">
      <items count="3">
        <item x="1"/>
        <item x="0"/>
        <item t="default"/>
      </items>
    </pivotField>
    <pivotField showAll="0"/>
  </pivotFields>
  <rowFields count="1">
    <field x="12"/>
  </rowFields>
  <rowItems count="4">
    <i>
      <x/>
    </i>
    <i>
      <x v="1"/>
    </i>
    <i>
      <x v="2"/>
    </i>
    <i t="grand">
      <x/>
    </i>
  </rowItems>
  <colFields count="1">
    <field x="13"/>
  </colFields>
  <colItems count="2">
    <i>
      <x/>
    </i>
    <i>
      <x v="1"/>
    </i>
  </colItems>
  <dataFields count="1">
    <dataField name="Count of Name" fld="0" subtotal="count" baseField="0" baseItem="0"/>
  </dataFields>
  <formats count="1">
    <format dxfId="3">
      <pivotArea type="all" dataOnly="0" outline="0" fieldPosition="0"/>
    </format>
  </formats>
  <chartFormats count="6">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 chart="3" format="9"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1" cacheId="2" applyNumberFormats="0" applyBorderFormats="0" applyFontFormats="0" applyPatternFormats="0" applyAlignmentFormats="0" applyWidthHeightFormats="1" dataCaption="Values" updatedVersion="8" minRefreshableVersion="3" showCalcMbrs="0" useAutoFormatting="1" colGrandTotals="0" itemPrintTitles="1" createdVersion="3" indent="0" outline="1" outlineData="1" multipleFieldFilters="0" chartFormat="18" rowHeaderCaption="Departments">
  <location ref="J3:O10" firstHeaderRow="1" firstDataRow="2" firstDataCol="1"/>
  <pivotFields count="15">
    <pivotField dataField="1" showAll="0"/>
    <pivotField showAll="0"/>
    <pivotField showAll="0"/>
    <pivotField showAll="0">
      <items count="4">
        <item x="0"/>
        <item x="2"/>
        <item x="1"/>
        <item t="default"/>
      </items>
    </pivotField>
    <pivotField axis="axisRow" showAll="0">
      <items count="6">
        <item x="0"/>
        <item x="1"/>
        <item x="2"/>
        <item x="4"/>
        <item x="3"/>
        <item t="default"/>
      </items>
    </pivotField>
    <pivotField axis="axisCol" showAll="0">
      <items count="6">
        <item x="3"/>
        <item x="1"/>
        <item x="4"/>
        <item x="0"/>
        <item x="2"/>
        <item t="default"/>
      </items>
    </pivotField>
    <pivotField numFmtId="14" showAll="0"/>
    <pivotField showAll="0"/>
    <pivotField showAll="0"/>
    <pivotField showAll="0"/>
    <pivotField numFmtId="164" showAll="0">
      <items count="5">
        <item x="0"/>
        <item x="1"/>
        <item x="2"/>
        <item x="3"/>
        <item t="default"/>
      </items>
    </pivotField>
    <pivotField showAll="0">
      <items count="4">
        <item x="0"/>
        <item x="1"/>
        <item x="2"/>
        <item t="default"/>
      </items>
    </pivotField>
    <pivotField showAll="0">
      <items count="4">
        <item x="1"/>
        <item x="0"/>
        <item x="2"/>
        <item t="default"/>
      </items>
    </pivotField>
    <pivotField showAll="0">
      <items count="3">
        <item x="1"/>
        <item x="0"/>
        <item t="default"/>
      </items>
    </pivotField>
    <pivotField showAll="0">
      <items count="3">
        <item x="1"/>
        <item x="0"/>
        <item t="default"/>
      </items>
    </pivotField>
  </pivotFields>
  <rowFields count="1">
    <field x="4"/>
  </rowFields>
  <rowItems count="6">
    <i>
      <x/>
    </i>
    <i>
      <x v="1"/>
    </i>
    <i>
      <x v="2"/>
    </i>
    <i>
      <x v="3"/>
    </i>
    <i>
      <x v="4"/>
    </i>
    <i t="grand">
      <x/>
    </i>
  </rowItems>
  <colFields count="1">
    <field x="5"/>
  </colFields>
  <colItems count="5">
    <i>
      <x/>
    </i>
    <i>
      <x v="1"/>
    </i>
    <i>
      <x v="2"/>
    </i>
    <i>
      <x v="3"/>
    </i>
    <i>
      <x v="4"/>
    </i>
  </colItems>
  <dataFields count="1">
    <dataField name="Count of Name" fld="0" subtotal="count" baseField="0" baseItem="0"/>
  </dataFields>
  <formats count="1">
    <format dxfId="4">
      <pivotArea type="all" dataOnly="0" outline="0" fieldPosition="0"/>
    </format>
  </formats>
  <chartFormats count="5">
    <chartFormat chart="5" format="20" series="1">
      <pivotArea type="data" outline="0" fieldPosition="0">
        <references count="2">
          <reference field="4294967294" count="1" selected="0">
            <x v="0"/>
          </reference>
          <reference field="5" count="1" selected="0">
            <x v="0"/>
          </reference>
        </references>
      </pivotArea>
    </chartFormat>
    <chartFormat chart="5" format="21" series="1">
      <pivotArea type="data" outline="0" fieldPosition="0">
        <references count="2">
          <reference field="4294967294" count="1" selected="0">
            <x v="0"/>
          </reference>
          <reference field="5" count="1" selected="0">
            <x v="1"/>
          </reference>
        </references>
      </pivotArea>
    </chartFormat>
    <chartFormat chart="5" format="22" series="1">
      <pivotArea type="data" outline="0" fieldPosition="0">
        <references count="2">
          <reference field="4294967294" count="1" selected="0">
            <x v="0"/>
          </reference>
          <reference field="5" count="1" selected="0">
            <x v="2"/>
          </reference>
        </references>
      </pivotArea>
    </chartFormat>
    <chartFormat chart="5" format="23" series="1">
      <pivotArea type="data" outline="0" fieldPosition="0">
        <references count="2">
          <reference field="4294967294" count="1" selected="0">
            <x v="0"/>
          </reference>
          <reference field="5" count="1" selected="0">
            <x v="3"/>
          </reference>
        </references>
      </pivotArea>
    </chartFormat>
    <chartFormat chart="5" format="2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5" cacheId="2" applyNumberFormats="0" applyBorderFormats="0" applyFontFormats="0" applyPatternFormats="0" applyAlignmentFormats="0" applyWidthHeightFormats="1" dataCaption="Values" updatedVersion="8" minRefreshableVersion="3" showCalcMbrs="0" useAutoFormatting="1" colGrandTotals="0" itemPrintTitles="1" createdVersion="3" indent="0" outline="1" outlineData="1" multipleFieldFilters="0" chartFormat="7" rowHeaderCaption="Years of experience">
  <location ref="A14:B18" firstHeaderRow="1" firstDataRow="1" firstDataCol="1"/>
  <pivotFields count="15">
    <pivotField dataField="1" showAll="0"/>
    <pivotField showAll="0"/>
    <pivotField showAll="0"/>
    <pivotField showAll="0">
      <items count="4">
        <item x="0"/>
        <item x="2"/>
        <item x="1"/>
        <item t="default"/>
      </items>
    </pivotField>
    <pivotField showAll="0">
      <items count="6">
        <item x="0"/>
        <item x="1"/>
        <item x="2"/>
        <item x="4"/>
        <item x="3"/>
        <item t="default"/>
      </items>
    </pivotField>
    <pivotField showAll="0"/>
    <pivotField numFmtId="14" showAll="0"/>
    <pivotField showAll="0"/>
    <pivotField showAll="0"/>
    <pivotField showAll="0"/>
    <pivotField axis="axisRow" numFmtId="164" showAll="0">
      <items count="5">
        <item x="0"/>
        <item x="1"/>
        <item x="2"/>
        <item x="3"/>
        <item t="default"/>
      </items>
    </pivotField>
    <pivotField showAll="0"/>
    <pivotField showAll="0">
      <items count="4">
        <item x="1"/>
        <item x="0"/>
        <item x="2"/>
        <item t="default"/>
      </items>
    </pivotField>
    <pivotField showAll="0">
      <items count="3">
        <item x="1"/>
        <item x="0"/>
        <item t="default"/>
      </items>
    </pivotField>
    <pivotField showAll="0"/>
  </pivotFields>
  <rowFields count="1">
    <field x="10"/>
  </rowFields>
  <rowItems count="4">
    <i>
      <x/>
    </i>
    <i>
      <x v="1"/>
    </i>
    <i>
      <x v="2"/>
    </i>
    <i t="grand">
      <x/>
    </i>
  </rowItems>
  <colItems count="1">
    <i/>
  </colItems>
  <dataFields count="1">
    <dataField name="Count of Name" fld="0" subtotal="count" baseField="0" baseItem="0"/>
  </dataFields>
  <formats count="1">
    <format dxfId="5">
      <pivotArea type="all" dataOnly="0" outline="0" fieldPosition="0"/>
    </format>
  </format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4" format="7">
      <pivotArea type="data" outline="0" fieldPosition="0">
        <references count="2">
          <reference field="4294967294" count="1" selected="0">
            <x v="0"/>
          </reference>
          <reference field="1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0" count="1" selected="0">
            <x v="0"/>
          </reference>
        </references>
      </pivotArea>
    </chartFormat>
    <chartFormat chart="5" format="10">
      <pivotArea type="data" outline="0" fieldPosition="0">
        <references count="2">
          <reference field="4294967294" count="1" selected="0">
            <x v="0"/>
          </reference>
          <reference field="10" count="1" selected="0">
            <x v="1"/>
          </reference>
        </references>
      </pivotArea>
    </chartFormat>
    <chartFormat chart="5"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0" cacheId="2" applyNumberFormats="0" applyBorderFormats="0" applyFontFormats="0" applyPatternFormats="0" applyAlignmentFormats="0" applyWidthHeightFormats="1" dataCaption="Values" updatedVersion="8" minRefreshableVersion="3" showCalcMbrs="0" useAutoFormatting="1" colGrandTotals="0" itemPrintTitles="1" createdVersion="3" indent="0" outline="1" outlineData="1" multipleFieldFilters="0" chartFormat="17" rowHeaderCaption="Departments">
  <location ref="F3:H10" firstHeaderRow="1" firstDataRow="2" firstDataCol="1"/>
  <pivotFields count="15">
    <pivotField dataField="1" showAll="0"/>
    <pivotField showAll="0"/>
    <pivotField showAll="0"/>
    <pivotField showAll="0">
      <items count="4">
        <item x="0"/>
        <item x="2"/>
        <item x="1"/>
        <item t="default"/>
      </items>
    </pivotField>
    <pivotField axis="axisRow" showAll="0">
      <items count="6">
        <item x="0"/>
        <item x="1"/>
        <item x="2"/>
        <item x="4"/>
        <item x="3"/>
        <item t="default"/>
      </items>
    </pivotField>
    <pivotField showAll="0"/>
    <pivotField numFmtId="14" showAll="0"/>
    <pivotField showAll="0"/>
    <pivotField showAll="0"/>
    <pivotField showAll="0"/>
    <pivotField numFmtId="164" showAll="0">
      <items count="5">
        <item x="0"/>
        <item x="1"/>
        <item x="2"/>
        <item x="3"/>
        <item t="default"/>
      </items>
    </pivotField>
    <pivotField showAll="0">
      <items count="4">
        <item x="0"/>
        <item h="1" x="1"/>
        <item h="1" x="2"/>
        <item t="default"/>
      </items>
    </pivotField>
    <pivotField showAll="0">
      <items count="4">
        <item x="1"/>
        <item x="0"/>
        <item x="2"/>
        <item t="default"/>
      </items>
    </pivotField>
    <pivotField showAll="0">
      <items count="3">
        <item x="1"/>
        <item x="0"/>
        <item t="default"/>
      </items>
    </pivotField>
    <pivotField axis="axisCol" showAll="0">
      <items count="3">
        <item x="1"/>
        <item x="0"/>
        <item t="default"/>
      </items>
    </pivotField>
  </pivotFields>
  <rowFields count="1">
    <field x="4"/>
  </rowFields>
  <rowItems count="6">
    <i>
      <x/>
    </i>
    <i>
      <x v="1"/>
    </i>
    <i>
      <x v="2"/>
    </i>
    <i>
      <x v="3"/>
    </i>
    <i>
      <x v="4"/>
    </i>
    <i t="grand">
      <x/>
    </i>
  </rowItems>
  <colFields count="1">
    <field x="14"/>
  </colFields>
  <colItems count="2">
    <i>
      <x/>
    </i>
    <i>
      <x v="1"/>
    </i>
  </colItems>
  <dataFields count="1">
    <dataField name="Count of Name" fld="0" subtotal="count" showDataAs="percentOfTotal" baseField="0" baseItem="0" numFmtId="10"/>
  </dataFields>
  <formats count="2">
    <format dxfId="7">
      <pivotArea type="all" dataOnly="0" outline="0" fieldPosition="0"/>
    </format>
    <format dxfId="6">
      <pivotArea outline="0" fieldPosition="0">
        <references count="1">
          <reference field="4294967294" count="1">
            <x v="0"/>
          </reference>
        </references>
      </pivotArea>
    </format>
  </formats>
  <chartFormats count="3">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5" cacheId="2" applyNumberFormats="0" applyBorderFormats="0" applyFontFormats="0" applyPatternFormats="0" applyAlignmentFormats="0" applyWidthHeightFormats="1" dataCaption="Values" updatedVersion="8" minRefreshableVersion="3" showCalcMbrs="0" useAutoFormatting="1" colGrandTotals="0" itemPrintTitles="1" createdVersion="3" indent="0" outline="1" outlineData="1" multipleFieldFilters="0" chartFormat="8" rowHeaderCaption="Performance level">
  <location ref="N14:Q21" firstHeaderRow="1" firstDataRow="2" firstDataCol="1"/>
  <pivotFields count="15">
    <pivotField showAll="0">
      <items count="11">
        <item x="9"/>
        <item x="6"/>
        <item x="2"/>
        <item x="0"/>
        <item x="1"/>
        <item x="8"/>
        <item x="4"/>
        <item x="7"/>
        <item x="5"/>
        <item x="3"/>
        <item t="default"/>
      </items>
    </pivotField>
    <pivotField showAll="0"/>
    <pivotField showAll="0"/>
    <pivotField showAll="0">
      <items count="4">
        <item x="0"/>
        <item x="2"/>
        <item x="1"/>
        <item t="default"/>
      </items>
    </pivotField>
    <pivotField axis="axisRow" showAll="0">
      <items count="6">
        <item x="0"/>
        <item x="1"/>
        <item x="2"/>
        <item x="4"/>
        <item x="3"/>
        <item t="default"/>
      </items>
    </pivotField>
    <pivotField showAll="0"/>
    <pivotField numFmtId="14" showAll="0"/>
    <pivotField showAll="0"/>
    <pivotField showAll="0"/>
    <pivotField showAll="0"/>
    <pivotField numFmtId="164" showAll="0">
      <items count="5">
        <item x="0"/>
        <item x="1"/>
        <item x="2"/>
        <item x="3"/>
        <item t="default"/>
      </items>
    </pivotField>
    <pivotField showAll="0">
      <items count="4">
        <item x="0"/>
        <item x="1"/>
        <item x="2"/>
        <item t="default"/>
      </items>
    </pivotField>
    <pivotField axis="axisCol" dataField="1" showAll="0">
      <items count="4">
        <item x="1"/>
        <item x="0"/>
        <item x="2"/>
        <item t="default"/>
      </items>
    </pivotField>
    <pivotField showAll="0">
      <items count="3">
        <item x="1"/>
        <item x="0"/>
        <item t="default"/>
      </items>
    </pivotField>
    <pivotField showAll="0"/>
  </pivotFields>
  <rowFields count="1">
    <field x="4"/>
  </rowFields>
  <rowItems count="6">
    <i>
      <x/>
    </i>
    <i>
      <x v="1"/>
    </i>
    <i>
      <x v="2"/>
    </i>
    <i>
      <x v="3"/>
    </i>
    <i>
      <x v="4"/>
    </i>
    <i t="grand">
      <x/>
    </i>
  </rowItems>
  <colFields count="1">
    <field x="12"/>
  </colFields>
  <colItems count="3">
    <i>
      <x/>
    </i>
    <i>
      <x v="1"/>
    </i>
    <i>
      <x v="2"/>
    </i>
  </colItems>
  <dataFields count="1">
    <dataField name="Count of Performance level" fld="12" subtotal="count" showDataAs="percentOfTotal" baseField="0" baseItem="0" numFmtId="10"/>
  </dataFields>
  <formats count="2">
    <format dxfId="9">
      <pivotArea type="all" dataOnly="0" outline="0" fieldPosition="0"/>
    </format>
    <format dxfId="8">
      <pivotArea outline="0" fieldPosition="0">
        <references count="1">
          <reference field="4294967294" count="1">
            <x v="0"/>
          </reference>
        </references>
      </pivotArea>
    </format>
  </format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 chart="2" format="9">
      <pivotArea type="data" outline="0" fieldPosition="0">
        <references count="3">
          <reference field="4294967294" count="1" selected="0">
            <x v="0"/>
          </reference>
          <reference field="4" count="1" selected="0">
            <x v="0"/>
          </reference>
          <reference field="12"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2" applyNumberFormats="0" applyBorderFormats="0" applyFontFormats="0" applyPatternFormats="0" applyAlignmentFormats="0" applyWidthHeightFormats="1" dataCaption="Values" updatedVersion="8" minRefreshableVersion="3" showCalcMbrs="0" useAutoFormatting="1" colGrandTotals="0" itemPrintTitles="1" createdVersion="3" indent="0" outline="1" outlineData="1" multipleFieldFilters="0" chartFormat="9" rowHeaderCaption="Salary Category">
  <location ref="A3:D8" firstHeaderRow="1" firstDataRow="2" firstDataCol="1"/>
  <pivotFields count="15">
    <pivotField dataField="1" showAll="0">
      <items count="11">
        <item x="9"/>
        <item x="6"/>
        <item x="2"/>
        <item x="0"/>
        <item x="1"/>
        <item x="8"/>
        <item x="4"/>
        <item x="7"/>
        <item x="5"/>
        <item x="3"/>
        <item t="default"/>
      </items>
    </pivotField>
    <pivotField showAll="0">
      <items count="6">
        <item x="2"/>
        <item x="1"/>
        <item x="0"/>
        <item x="4"/>
        <item x="3"/>
        <item t="default"/>
      </items>
    </pivotField>
    <pivotField showAll="0">
      <items count="7">
        <item x="5"/>
        <item x="2"/>
        <item x="4"/>
        <item x="1"/>
        <item x="0"/>
        <item x="3"/>
        <item t="default"/>
      </items>
    </pivotField>
    <pivotField showAll="0">
      <items count="4">
        <item x="0"/>
        <item x="2"/>
        <item x="1"/>
        <item t="default"/>
      </items>
    </pivotField>
    <pivotField showAll="0">
      <items count="6">
        <item x="0"/>
        <item x="1"/>
        <item x="2"/>
        <item x="4"/>
        <item x="3"/>
        <item t="default"/>
      </items>
    </pivotField>
    <pivotField showAll="0">
      <items count="6">
        <item x="3"/>
        <item x="1"/>
        <item x="4"/>
        <item x="0"/>
        <item x="2"/>
        <item t="default"/>
      </items>
    </pivotField>
    <pivotField numFmtId="14" showAll="0"/>
    <pivotField showAll="0"/>
    <pivotField showAll="0"/>
    <pivotField showAll="0"/>
    <pivotField numFmtId="164" showAll="0">
      <items count="5">
        <item x="0"/>
        <item x="1"/>
        <item x="2"/>
        <item x="3"/>
        <item t="default"/>
      </items>
    </pivotField>
    <pivotField axis="axisRow" showAll="0">
      <items count="4">
        <item x="0"/>
        <item x="1"/>
        <item x="2"/>
        <item t="default"/>
      </items>
    </pivotField>
    <pivotField axis="axisCol" showAll="0">
      <items count="4">
        <item x="0"/>
        <item x="2"/>
        <item x="1"/>
        <item t="default"/>
      </items>
    </pivotField>
    <pivotField showAll="0">
      <items count="3">
        <item x="1"/>
        <item x="0"/>
        <item t="default"/>
      </items>
    </pivotField>
    <pivotField showAll="0">
      <items count="3">
        <item x="1"/>
        <item x="0"/>
        <item t="default"/>
      </items>
    </pivotField>
  </pivotFields>
  <rowFields count="1">
    <field x="11"/>
  </rowFields>
  <rowItems count="4">
    <i>
      <x/>
    </i>
    <i>
      <x v="1"/>
    </i>
    <i>
      <x v="2"/>
    </i>
    <i t="grand">
      <x/>
    </i>
  </rowItems>
  <colFields count="1">
    <field x="12"/>
  </colFields>
  <colItems count="3">
    <i>
      <x/>
    </i>
    <i>
      <x v="1"/>
    </i>
    <i>
      <x v="2"/>
    </i>
  </colItems>
  <dataFields count="1">
    <dataField name="Count of Name"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49ADED4D-C1B6-4132-AB64-5F03C4674542}" sourceName="Department">
  <pivotTables>
    <pivotTable tabId="5" name="PivotTable10"/>
    <pivotTable tabId="5" name="PivotTable11"/>
    <pivotTable tabId="5" name="PivotTable12"/>
    <pivotTable tabId="5" name="PivotTable15"/>
    <pivotTable tabId="5" name="PivotTable4"/>
    <pivotTable tabId="5" name="PivotTable5"/>
    <pivotTable tabId="5" name="PivotTable7"/>
    <pivotTable tabId="5" name="PivotTable9"/>
  </pivotTables>
  <data>
    <tabular pivotCacheId="1870579045">
      <items count="5">
        <i x="0"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7FECA17-B70D-4C51-BBE6-DA4C6585C8A6}" sourceName="Gender">
  <pivotTables>
    <pivotTable tabId="5" name="PivotTable10"/>
    <pivotTable tabId="5" name="PivotTable11"/>
    <pivotTable tabId="5" name="PivotTable12"/>
    <pivotTable tabId="5" name="PivotTable15"/>
    <pivotTable tabId="5" name="PivotTable4"/>
    <pivotTable tabId="5" name="PivotTable5"/>
    <pivotTable tabId="5" name="PivotTable7"/>
    <pivotTable tabId="5" name="PivotTable9"/>
  </pivotTables>
  <data>
    <tabular pivotCacheId="1870579045">
      <items count="3">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13BB918-DFEA-45AD-86C8-6703513A292C}" cache="Slicer_Department1" caption="Department" style="SlicerStyleDark6" rowHeight="504000"/>
  <slicer name="Gender" xr10:uid="{BE891283-08C4-4F03-BE90-CA5B53033D93}" cache="Slicer_Gender1" caption="Gender" style="SlicerStyleDark6" rowHeight="733425"/>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pane ySplit="1" topLeftCell="A2" activePane="bottomLeft" state="frozen"/>
      <selection pane="bottomLeft" activeCell="M1" sqref="M1"/>
    </sheetView>
  </sheetViews>
  <sheetFormatPr defaultRowHeight="15" x14ac:dyDescent="0.25"/>
  <cols>
    <col min="7" max="7" width="11.28515625" bestFit="1" customWidth="1"/>
    <col min="14" max="14" width="11.7109375" bestFit="1" customWidth="1"/>
    <col min="15" max="15" width="20.28515625" bestFit="1" customWidth="1"/>
  </cols>
  <sheetData>
    <row r="1" spans="1:15" x14ac:dyDescent="0.25">
      <c r="A1" s="2" t="s">
        <v>0</v>
      </c>
      <c r="B1" s="2" t="s">
        <v>1</v>
      </c>
      <c r="C1" s="2" t="s">
        <v>2</v>
      </c>
      <c r="D1" s="2" t="s">
        <v>3</v>
      </c>
      <c r="E1" s="2" t="s">
        <v>4</v>
      </c>
      <c r="F1" s="2" t="s">
        <v>5</v>
      </c>
      <c r="G1" s="2" t="s">
        <v>6</v>
      </c>
      <c r="H1" s="2" t="s">
        <v>7</v>
      </c>
      <c r="I1" s="2" t="s">
        <v>43</v>
      </c>
      <c r="J1" s="3" t="s">
        <v>8</v>
      </c>
      <c r="K1" s="2" t="s">
        <v>45</v>
      </c>
      <c r="L1" s="2" t="s">
        <v>46</v>
      </c>
      <c r="M1" s="2" t="s">
        <v>47</v>
      </c>
      <c r="N1" s="2" t="s">
        <v>48</v>
      </c>
      <c r="O1" s="2" t="s">
        <v>49</v>
      </c>
    </row>
    <row r="2" spans="1:15" x14ac:dyDescent="0.25">
      <c r="A2" t="s">
        <v>34</v>
      </c>
      <c r="B2">
        <v>35</v>
      </c>
      <c r="C2">
        <v>65000</v>
      </c>
      <c r="D2" t="s">
        <v>14</v>
      </c>
      <c r="E2" t="s">
        <v>15</v>
      </c>
      <c r="F2" t="s">
        <v>16</v>
      </c>
      <c r="G2" s="1">
        <v>43881</v>
      </c>
      <c r="H2" s="1" t="s">
        <v>17</v>
      </c>
      <c r="I2" s="1" t="s">
        <v>18</v>
      </c>
      <c r="J2" s="1" t="s">
        <v>19</v>
      </c>
      <c r="K2" s="4">
        <f ca="1">ROUND((TODAY()-G2)/365,1)</f>
        <v>6.1</v>
      </c>
      <c r="L2" t="str">
        <f>IF(C2&lt;60000,"Low", IF(C2&lt;65000,"Medium","High"))</f>
        <v>High</v>
      </c>
      <c r="M2" t="str">
        <f>IF(H2="A","High",IF(OR(H2="B",H2="C"),"Medium","Low"))</f>
        <v>Low</v>
      </c>
      <c r="N2" t="str">
        <f>IF(M2="Low","PIP","No PIP")</f>
        <v>PIP</v>
      </c>
      <c r="O2" t="str">
        <f ca="1">IF(AND(M2="High",K2&gt;3),"Eligible","Not Eligible")</f>
        <v>Not Eligible</v>
      </c>
    </row>
    <row r="3" spans="1:15" x14ac:dyDescent="0.25">
      <c r="A3" t="s">
        <v>36</v>
      </c>
      <c r="B3">
        <v>30</v>
      </c>
      <c r="C3">
        <v>60216</v>
      </c>
      <c r="D3" t="s">
        <v>26</v>
      </c>
      <c r="E3" t="s">
        <v>15</v>
      </c>
      <c r="F3" t="s">
        <v>30</v>
      </c>
      <c r="G3" s="1">
        <v>43881</v>
      </c>
      <c r="H3" s="1" t="s">
        <v>24</v>
      </c>
      <c r="I3" s="1" t="s">
        <v>44</v>
      </c>
      <c r="J3" s="1" t="s">
        <v>44</v>
      </c>
      <c r="K3" s="4">
        <f t="shared" ref="K3:K66" ca="1" si="0">ROUND((TODAY()-G3)/365,1)</f>
        <v>6.1</v>
      </c>
      <c r="L3" t="str">
        <f t="shared" ref="L3:L66" si="1">IF(C3&lt;60000,"Low", IF(C3&lt;65000,"Medium","High"))</f>
        <v>Medium</v>
      </c>
      <c r="M3" t="str">
        <f t="shared" ref="M3:M66" si="2">IF(H3="A","High",IF(OR(H3="B",H3="C"),"Medium","Low"))</f>
        <v>High</v>
      </c>
      <c r="N3" t="str">
        <f t="shared" ref="N3:N66" si="3">IF(M3="Low","PIP","No PIP")</f>
        <v>No PIP</v>
      </c>
      <c r="O3" t="str">
        <f t="shared" ref="O3:O66" ca="1" si="4">IF(AND(M3="High",K3&gt;3),"Eligible","Not Eligible")</f>
        <v>Eligible</v>
      </c>
    </row>
    <row r="4" spans="1:15" x14ac:dyDescent="0.25">
      <c r="A4" t="s">
        <v>38</v>
      </c>
      <c r="B4">
        <v>25</v>
      </c>
      <c r="C4">
        <v>55000</v>
      </c>
      <c r="D4" t="s">
        <v>26</v>
      </c>
      <c r="E4" t="s">
        <v>10</v>
      </c>
      <c r="F4" t="s">
        <v>11</v>
      </c>
      <c r="G4" s="1">
        <v>43881</v>
      </c>
      <c r="H4" s="1" t="s">
        <v>17</v>
      </c>
      <c r="I4" s="1" t="s">
        <v>44</v>
      </c>
      <c r="J4" s="1" t="s">
        <v>32</v>
      </c>
      <c r="K4" s="4">
        <f t="shared" ca="1" si="0"/>
        <v>6.1</v>
      </c>
      <c r="L4" t="str">
        <f t="shared" si="1"/>
        <v>Low</v>
      </c>
      <c r="M4" t="str">
        <f t="shared" si="2"/>
        <v>Low</v>
      </c>
      <c r="N4" t="str">
        <f t="shared" si="3"/>
        <v>PIP</v>
      </c>
      <c r="O4" t="str">
        <f t="shared" ca="1" si="4"/>
        <v>Not Eligible</v>
      </c>
    </row>
    <row r="5" spans="1:15" x14ac:dyDescent="0.25">
      <c r="A5" t="s">
        <v>37</v>
      </c>
      <c r="B5">
        <v>50</v>
      </c>
      <c r="C5">
        <v>70000</v>
      </c>
      <c r="D5" t="s">
        <v>9</v>
      </c>
      <c r="E5" t="s">
        <v>15</v>
      </c>
      <c r="F5" t="s">
        <v>31</v>
      </c>
      <c r="G5" s="1">
        <v>43881</v>
      </c>
      <c r="H5" s="1" t="s">
        <v>24</v>
      </c>
      <c r="I5" s="1" t="s">
        <v>13</v>
      </c>
      <c r="J5" s="1" t="s">
        <v>22</v>
      </c>
      <c r="K5" s="4">
        <f t="shared" ca="1" si="0"/>
        <v>6.1</v>
      </c>
      <c r="L5" t="str">
        <f t="shared" si="1"/>
        <v>High</v>
      </c>
      <c r="M5" t="str">
        <f t="shared" si="2"/>
        <v>High</v>
      </c>
      <c r="N5" t="str">
        <f t="shared" si="3"/>
        <v>No PIP</v>
      </c>
      <c r="O5" t="str">
        <f t="shared" ca="1" si="4"/>
        <v>Eligible</v>
      </c>
    </row>
    <row r="6" spans="1:15" x14ac:dyDescent="0.25">
      <c r="A6" t="s">
        <v>33</v>
      </c>
      <c r="B6">
        <v>50</v>
      </c>
      <c r="C6">
        <v>60000</v>
      </c>
      <c r="D6" t="s">
        <v>9</v>
      </c>
      <c r="E6" t="s">
        <v>23</v>
      </c>
      <c r="F6" t="s">
        <v>28</v>
      </c>
      <c r="G6" s="1">
        <v>43881</v>
      </c>
      <c r="H6" s="1" t="s">
        <v>21</v>
      </c>
      <c r="I6" s="1" t="s">
        <v>44</v>
      </c>
      <c r="J6" s="1" t="s">
        <v>44</v>
      </c>
      <c r="K6" s="4">
        <f t="shared" ca="1" si="0"/>
        <v>6.1</v>
      </c>
      <c r="L6" t="str">
        <f t="shared" si="1"/>
        <v>Medium</v>
      </c>
      <c r="M6" t="str">
        <f t="shared" si="2"/>
        <v>Medium</v>
      </c>
      <c r="N6" t="str">
        <f t="shared" si="3"/>
        <v>No PIP</v>
      </c>
      <c r="O6" t="str">
        <f t="shared" ca="1" si="4"/>
        <v>Not Eligible</v>
      </c>
    </row>
    <row r="7" spans="1:15" x14ac:dyDescent="0.25">
      <c r="A7" t="s">
        <v>33</v>
      </c>
      <c r="B7">
        <v>25</v>
      </c>
      <c r="C7">
        <v>65000</v>
      </c>
      <c r="D7" t="s">
        <v>9</v>
      </c>
      <c r="E7" t="s">
        <v>23</v>
      </c>
      <c r="F7" t="s">
        <v>30</v>
      </c>
      <c r="G7" s="1">
        <v>43881</v>
      </c>
      <c r="H7" s="1" t="s">
        <v>24</v>
      </c>
      <c r="I7" s="1" t="s">
        <v>25</v>
      </c>
      <c r="J7" s="1" t="s">
        <v>44</v>
      </c>
      <c r="K7" s="4">
        <f t="shared" ca="1" si="0"/>
        <v>6.1</v>
      </c>
      <c r="L7" t="str">
        <f t="shared" si="1"/>
        <v>High</v>
      </c>
      <c r="M7" t="str">
        <f t="shared" si="2"/>
        <v>High</v>
      </c>
      <c r="N7" t="str">
        <f t="shared" si="3"/>
        <v>No PIP</v>
      </c>
      <c r="O7" t="str">
        <f t="shared" ca="1" si="4"/>
        <v>Eligible</v>
      </c>
    </row>
    <row r="8" spans="1:15" x14ac:dyDescent="0.25">
      <c r="A8" t="s">
        <v>36</v>
      </c>
      <c r="B8">
        <v>40</v>
      </c>
      <c r="C8">
        <v>60216</v>
      </c>
      <c r="D8" t="s">
        <v>26</v>
      </c>
      <c r="E8" t="s">
        <v>20</v>
      </c>
      <c r="F8" t="s">
        <v>11</v>
      </c>
      <c r="G8" s="1">
        <v>43881</v>
      </c>
      <c r="H8" s="1" t="s">
        <v>21</v>
      </c>
      <c r="I8" s="1" t="s">
        <v>25</v>
      </c>
      <c r="J8" s="1" t="s">
        <v>19</v>
      </c>
      <c r="K8" s="4">
        <f t="shared" ca="1" si="0"/>
        <v>6.1</v>
      </c>
      <c r="L8" t="str">
        <f t="shared" si="1"/>
        <v>Medium</v>
      </c>
      <c r="M8" t="str">
        <f t="shared" si="2"/>
        <v>Medium</v>
      </c>
      <c r="N8" t="str">
        <f t="shared" si="3"/>
        <v>No PIP</v>
      </c>
      <c r="O8" t="str">
        <f t="shared" ca="1" si="4"/>
        <v>Not Eligible</v>
      </c>
    </row>
    <row r="9" spans="1:15" x14ac:dyDescent="0.25">
      <c r="A9" t="s">
        <v>42</v>
      </c>
      <c r="B9">
        <v>25</v>
      </c>
      <c r="C9">
        <v>60000</v>
      </c>
      <c r="D9" t="s">
        <v>9</v>
      </c>
      <c r="E9" t="s">
        <v>23</v>
      </c>
      <c r="F9" t="s">
        <v>11</v>
      </c>
      <c r="G9" s="1">
        <v>43881</v>
      </c>
      <c r="H9" s="1" t="s">
        <v>24</v>
      </c>
      <c r="I9" s="1" t="s">
        <v>44</v>
      </c>
      <c r="J9" s="1" t="s">
        <v>22</v>
      </c>
      <c r="K9" s="4">
        <f t="shared" ca="1" si="0"/>
        <v>6.1</v>
      </c>
      <c r="L9" t="str">
        <f t="shared" si="1"/>
        <v>Medium</v>
      </c>
      <c r="M9" t="str">
        <f t="shared" si="2"/>
        <v>High</v>
      </c>
      <c r="N9" t="str">
        <f t="shared" si="3"/>
        <v>No PIP</v>
      </c>
      <c r="O9" t="str">
        <f t="shared" ca="1" si="4"/>
        <v>Eligible</v>
      </c>
    </row>
    <row r="10" spans="1:15" x14ac:dyDescent="0.25">
      <c r="A10" t="s">
        <v>33</v>
      </c>
      <c r="B10">
        <v>30</v>
      </c>
      <c r="C10">
        <v>60216</v>
      </c>
      <c r="D10" t="s">
        <v>9</v>
      </c>
      <c r="E10" t="s">
        <v>27</v>
      </c>
      <c r="F10" t="s">
        <v>16</v>
      </c>
      <c r="G10" s="1">
        <v>43881</v>
      </c>
      <c r="H10" s="1" t="s">
        <v>12</v>
      </c>
      <c r="I10" s="1" t="s">
        <v>44</v>
      </c>
      <c r="J10" s="1" t="s">
        <v>44</v>
      </c>
      <c r="K10" s="4">
        <f t="shared" ca="1" si="0"/>
        <v>6.1</v>
      </c>
      <c r="L10" t="str">
        <f t="shared" si="1"/>
        <v>Medium</v>
      </c>
      <c r="M10" t="str">
        <f t="shared" si="2"/>
        <v>Low</v>
      </c>
      <c r="N10" t="str">
        <f t="shared" si="3"/>
        <v>PIP</v>
      </c>
      <c r="O10" t="str">
        <f t="shared" ca="1" si="4"/>
        <v>Not Eligible</v>
      </c>
    </row>
    <row r="11" spans="1:15" x14ac:dyDescent="0.25">
      <c r="A11" t="s">
        <v>34</v>
      </c>
      <c r="B11">
        <v>25</v>
      </c>
      <c r="C11">
        <v>55000</v>
      </c>
      <c r="D11" t="s">
        <v>14</v>
      </c>
      <c r="E11" t="s">
        <v>15</v>
      </c>
      <c r="F11" t="s">
        <v>30</v>
      </c>
      <c r="G11" s="1">
        <v>43881</v>
      </c>
      <c r="H11" s="1" t="s">
        <v>24</v>
      </c>
      <c r="I11" s="1" t="s">
        <v>44</v>
      </c>
      <c r="J11" s="1" t="s">
        <v>44</v>
      </c>
      <c r="K11" s="4">
        <f t="shared" ca="1" si="0"/>
        <v>6.1</v>
      </c>
      <c r="L11" t="str">
        <f t="shared" si="1"/>
        <v>Low</v>
      </c>
      <c r="M11" t="str">
        <f t="shared" si="2"/>
        <v>High</v>
      </c>
      <c r="N11" t="str">
        <f t="shared" si="3"/>
        <v>No PIP</v>
      </c>
      <c r="O11" t="str">
        <f t="shared" ca="1" si="4"/>
        <v>Eligible</v>
      </c>
    </row>
    <row r="12" spans="1:15" x14ac:dyDescent="0.25">
      <c r="A12" t="s">
        <v>37</v>
      </c>
      <c r="B12">
        <v>25</v>
      </c>
      <c r="C12">
        <v>60000</v>
      </c>
      <c r="D12" t="s">
        <v>26</v>
      </c>
      <c r="E12" t="s">
        <v>27</v>
      </c>
      <c r="F12" t="s">
        <v>16</v>
      </c>
      <c r="G12" s="1">
        <v>43881</v>
      </c>
      <c r="H12" s="1" t="s">
        <v>29</v>
      </c>
      <c r="I12" s="1" t="s">
        <v>44</v>
      </c>
      <c r="J12" s="1" t="s">
        <v>19</v>
      </c>
      <c r="K12" s="4">
        <f t="shared" ca="1" si="0"/>
        <v>6.1</v>
      </c>
      <c r="L12" t="str">
        <f t="shared" si="1"/>
        <v>Medium</v>
      </c>
      <c r="M12" t="str">
        <f t="shared" si="2"/>
        <v>Medium</v>
      </c>
      <c r="N12" t="str">
        <f t="shared" si="3"/>
        <v>No PIP</v>
      </c>
      <c r="O12" t="str">
        <f t="shared" ca="1" si="4"/>
        <v>Not Eligible</v>
      </c>
    </row>
    <row r="13" spans="1:15" x14ac:dyDescent="0.25">
      <c r="A13" t="s">
        <v>33</v>
      </c>
      <c r="B13">
        <v>50</v>
      </c>
      <c r="C13">
        <v>50000</v>
      </c>
      <c r="D13" t="s">
        <v>9</v>
      </c>
      <c r="E13" t="s">
        <v>23</v>
      </c>
      <c r="F13" t="s">
        <v>16</v>
      </c>
      <c r="G13" s="1">
        <v>43881</v>
      </c>
      <c r="H13" s="1" t="s">
        <v>21</v>
      </c>
      <c r="I13" s="1" t="s">
        <v>44</v>
      </c>
      <c r="J13" s="1" t="s">
        <v>32</v>
      </c>
      <c r="K13" s="4">
        <f t="shared" ca="1" si="0"/>
        <v>6.1</v>
      </c>
      <c r="L13" t="str">
        <f t="shared" si="1"/>
        <v>Low</v>
      </c>
      <c r="M13" t="str">
        <f t="shared" si="2"/>
        <v>Medium</v>
      </c>
      <c r="N13" t="str">
        <f t="shared" si="3"/>
        <v>No PIP</v>
      </c>
      <c r="O13" t="str">
        <f t="shared" ca="1" si="4"/>
        <v>Not Eligible</v>
      </c>
    </row>
    <row r="14" spans="1:15" x14ac:dyDescent="0.25">
      <c r="A14" t="s">
        <v>40</v>
      </c>
      <c r="B14">
        <v>35</v>
      </c>
      <c r="C14">
        <v>70000</v>
      </c>
      <c r="D14" t="s">
        <v>14</v>
      </c>
      <c r="E14" t="s">
        <v>23</v>
      </c>
      <c r="F14" t="s">
        <v>31</v>
      </c>
      <c r="G14" s="1">
        <v>43881</v>
      </c>
      <c r="H14" s="1" t="s">
        <v>29</v>
      </c>
      <c r="I14" s="1" t="s">
        <v>13</v>
      </c>
      <c r="J14" s="1" t="s">
        <v>44</v>
      </c>
      <c r="K14" s="4">
        <f t="shared" ca="1" si="0"/>
        <v>6.1</v>
      </c>
      <c r="L14" t="str">
        <f t="shared" si="1"/>
        <v>High</v>
      </c>
      <c r="M14" t="str">
        <f t="shared" si="2"/>
        <v>Medium</v>
      </c>
      <c r="N14" t="str">
        <f t="shared" si="3"/>
        <v>No PIP</v>
      </c>
      <c r="O14" t="str">
        <f t="shared" ca="1" si="4"/>
        <v>Not Eligible</v>
      </c>
    </row>
    <row r="15" spans="1:15" x14ac:dyDescent="0.25">
      <c r="A15" t="s">
        <v>35</v>
      </c>
      <c r="B15">
        <v>30</v>
      </c>
      <c r="C15">
        <v>55000</v>
      </c>
      <c r="D15" t="s">
        <v>9</v>
      </c>
      <c r="E15" t="s">
        <v>10</v>
      </c>
      <c r="F15" t="s">
        <v>11</v>
      </c>
      <c r="G15" s="1">
        <v>43881</v>
      </c>
      <c r="H15" s="1" t="s">
        <v>29</v>
      </c>
      <c r="I15" s="1" t="s">
        <v>18</v>
      </c>
      <c r="J15" s="1" t="s">
        <v>44</v>
      </c>
      <c r="K15" s="4">
        <f t="shared" ca="1" si="0"/>
        <v>6.1</v>
      </c>
      <c r="L15" t="str">
        <f t="shared" si="1"/>
        <v>Low</v>
      </c>
      <c r="M15" t="str">
        <f t="shared" si="2"/>
        <v>Medium</v>
      </c>
      <c r="N15" t="str">
        <f t="shared" si="3"/>
        <v>No PIP</v>
      </c>
      <c r="O15" t="str">
        <f t="shared" ca="1" si="4"/>
        <v>Not Eligible</v>
      </c>
    </row>
    <row r="16" spans="1:15" x14ac:dyDescent="0.25">
      <c r="A16" t="s">
        <v>40</v>
      </c>
      <c r="B16">
        <v>30</v>
      </c>
      <c r="C16">
        <v>50000</v>
      </c>
      <c r="D16" t="s">
        <v>26</v>
      </c>
      <c r="E16" t="s">
        <v>23</v>
      </c>
      <c r="F16" t="s">
        <v>31</v>
      </c>
      <c r="G16" s="1">
        <v>43881</v>
      </c>
      <c r="H16" s="1" t="s">
        <v>17</v>
      </c>
      <c r="I16" s="1" t="s">
        <v>18</v>
      </c>
      <c r="J16" s="1" t="s">
        <v>22</v>
      </c>
      <c r="K16" s="4">
        <f t="shared" ca="1" si="0"/>
        <v>6.1</v>
      </c>
      <c r="L16" t="str">
        <f t="shared" si="1"/>
        <v>Low</v>
      </c>
      <c r="M16" t="str">
        <f t="shared" si="2"/>
        <v>Low</v>
      </c>
      <c r="N16" t="str">
        <f t="shared" si="3"/>
        <v>PIP</v>
      </c>
      <c r="O16" t="str">
        <f t="shared" ca="1" si="4"/>
        <v>Not Eligible</v>
      </c>
    </row>
    <row r="17" spans="1:15" x14ac:dyDescent="0.25">
      <c r="A17" t="s">
        <v>35</v>
      </c>
      <c r="B17">
        <v>35</v>
      </c>
      <c r="C17">
        <v>50000</v>
      </c>
      <c r="D17" t="s">
        <v>26</v>
      </c>
      <c r="E17" t="s">
        <v>15</v>
      </c>
      <c r="F17" t="s">
        <v>11</v>
      </c>
      <c r="G17" s="1">
        <v>43881</v>
      </c>
      <c r="H17" s="1" t="s">
        <v>12</v>
      </c>
      <c r="I17" s="1" t="s">
        <v>13</v>
      </c>
      <c r="J17" s="1" t="s">
        <v>44</v>
      </c>
      <c r="K17" s="4">
        <f t="shared" ca="1" si="0"/>
        <v>6.1</v>
      </c>
      <c r="L17" t="str">
        <f t="shared" si="1"/>
        <v>Low</v>
      </c>
      <c r="M17" t="str">
        <f t="shared" si="2"/>
        <v>Low</v>
      </c>
      <c r="N17" t="str">
        <f t="shared" si="3"/>
        <v>PIP</v>
      </c>
      <c r="O17" t="str">
        <f t="shared" ca="1" si="4"/>
        <v>Not Eligible</v>
      </c>
    </row>
    <row r="18" spans="1:15" x14ac:dyDescent="0.25">
      <c r="A18" t="s">
        <v>36</v>
      </c>
      <c r="B18">
        <v>50</v>
      </c>
      <c r="C18">
        <v>55000</v>
      </c>
      <c r="D18" t="s">
        <v>9</v>
      </c>
      <c r="E18" t="s">
        <v>27</v>
      </c>
      <c r="F18" t="s">
        <v>11</v>
      </c>
      <c r="G18" s="1">
        <v>43881</v>
      </c>
      <c r="H18" s="1" t="s">
        <v>29</v>
      </c>
      <c r="I18" s="1" t="s">
        <v>44</v>
      </c>
      <c r="J18" s="1" t="s">
        <v>32</v>
      </c>
      <c r="K18" s="4">
        <f t="shared" ca="1" si="0"/>
        <v>6.1</v>
      </c>
      <c r="L18" t="str">
        <f t="shared" si="1"/>
        <v>Low</v>
      </c>
      <c r="M18" t="str">
        <f t="shared" si="2"/>
        <v>Medium</v>
      </c>
      <c r="N18" t="str">
        <f t="shared" si="3"/>
        <v>No PIP</v>
      </c>
      <c r="O18" t="str">
        <f t="shared" ca="1" si="4"/>
        <v>Not Eligible</v>
      </c>
    </row>
    <row r="19" spans="1:15" x14ac:dyDescent="0.25">
      <c r="A19" t="s">
        <v>35</v>
      </c>
      <c r="B19">
        <v>30</v>
      </c>
      <c r="C19">
        <v>70000</v>
      </c>
      <c r="D19" t="s">
        <v>9</v>
      </c>
      <c r="E19" t="s">
        <v>10</v>
      </c>
      <c r="F19" t="s">
        <v>11</v>
      </c>
      <c r="G19" s="1">
        <v>43881</v>
      </c>
      <c r="H19" s="1" t="s">
        <v>21</v>
      </c>
      <c r="I19" s="1" t="s">
        <v>13</v>
      </c>
      <c r="J19" s="1" t="s">
        <v>22</v>
      </c>
      <c r="K19" s="4">
        <f t="shared" ca="1" si="0"/>
        <v>6.1</v>
      </c>
      <c r="L19" t="str">
        <f t="shared" si="1"/>
        <v>High</v>
      </c>
      <c r="M19" t="str">
        <f t="shared" si="2"/>
        <v>Medium</v>
      </c>
      <c r="N19" t="str">
        <f t="shared" si="3"/>
        <v>No PIP</v>
      </c>
      <c r="O19" t="str">
        <f t="shared" ca="1" si="4"/>
        <v>Not Eligible</v>
      </c>
    </row>
    <row r="20" spans="1:15" x14ac:dyDescent="0.25">
      <c r="A20" t="s">
        <v>33</v>
      </c>
      <c r="B20">
        <v>35</v>
      </c>
      <c r="C20">
        <v>65000</v>
      </c>
      <c r="D20" t="s">
        <v>14</v>
      </c>
      <c r="E20" t="s">
        <v>20</v>
      </c>
      <c r="F20" t="s">
        <v>11</v>
      </c>
      <c r="G20" s="1">
        <v>43881</v>
      </c>
      <c r="H20" s="1" t="s">
        <v>17</v>
      </c>
      <c r="I20" s="1" t="s">
        <v>13</v>
      </c>
      <c r="J20" s="1" t="s">
        <v>44</v>
      </c>
      <c r="K20" s="4">
        <f t="shared" ca="1" si="0"/>
        <v>6.1</v>
      </c>
      <c r="L20" t="str">
        <f t="shared" si="1"/>
        <v>High</v>
      </c>
      <c r="M20" t="str">
        <f t="shared" si="2"/>
        <v>Low</v>
      </c>
      <c r="N20" t="str">
        <f t="shared" si="3"/>
        <v>PIP</v>
      </c>
      <c r="O20" t="str">
        <f t="shared" ca="1" si="4"/>
        <v>Not Eligible</v>
      </c>
    </row>
    <row r="21" spans="1:15" x14ac:dyDescent="0.25">
      <c r="A21" t="s">
        <v>33</v>
      </c>
      <c r="B21">
        <v>30</v>
      </c>
      <c r="C21">
        <v>60000</v>
      </c>
      <c r="D21" t="s">
        <v>14</v>
      </c>
      <c r="E21" t="s">
        <v>27</v>
      </c>
      <c r="F21" t="s">
        <v>28</v>
      </c>
      <c r="G21" s="1">
        <v>43881</v>
      </c>
      <c r="H21" s="1" t="s">
        <v>24</v>
      </c>
      <c r="I21" s="1" t="s">
        <v>25</v>
      </c>
      <c r="J21" s="1" t="s">
        <v>19</v>
      </c>
      <c r="K21" s="4">
        <f t="shared" ca="1" si="0"/>
        <v>6.1</v>
      </c>
      <c r="L21" t="str">
        <f t="shared" si="1"/>
        <v>Medium</v>
      </c>
      <c r="M21" t="str">
        <f t="shared" si="2"/>
        <v>High</v>
      </c>
      <c r="N21" t="str">
        <f t="shared" si="3"/>
        <v>No PIP</v>
      </c>
      <c r="O21" t="str">
        <f t="shared" ca="1" si="4"/>
        <v>Eligible</v>
      </c>
    </row>
    <row r="22" spans="1:15" x14ac:dyDescent="0.25">
      <c r="A22" t="s">
        <v>36</v>
      </c>
      <c r="B22">
        <v>35</v>
      </c>
      <c r="C22">
        <v>70000</v>
      </c>
      <c r="D22" t="s">
        <v>9</v>
      </c>
      <c r="E22" t="s">
        <v>10</v>
      </c>
      <c r="F22" t="s">
        <v>11</v>
      </c>
      <c r="G22" s="1">
        <v>43881</v>
      </c>
      <c r="H22" s="1" t="s">
        <v>29</v>
      </c>
      <c r="I22" s="1" t="s">
        <v>18</v>
      </c>
      <c r="J22" s="1" t="s">
        <v>44</v>
      </c>
      <c r="K22" s="4">
        <f t="shared" ca="1" si="0"/>
        <v>6.1</v>
      </c>
      <c r="L22" t="str">
        <f t="shared" si="1"/>
        <v>High</v>
      </c>
      <c r="M22" t="str">
        <f t="shared" si="2"/>
        <v>Medium</v>
      </c>
      <c r="N22" t="str">
        <f t="shared" si="3"/>
        <v>No PIP</v>
      </c>
      <c r="O22" t="str">
        <f t="shared" ca="1" si="4"/>
        <v>Not Eligible</v>
      </c>
    </row>
    <row r="23" spans="1:15" x14ac:dyDescent="0.25">
      <c r="A23" t="s">
        <v>33</v>
      </c>
      <c r="B23">
        <v>35</v>
      </c>
      <c r="C23">
        <v>60216</v>
      </c>
      <c r="D23" t="s">
        <v>9</v>
      </c>
      <c r="E23" t="s">
        <v>15</v>
      </c>
      <c r="F23" t="s">
        <v>28</v>
      </c>
      <c r="G23" s="1">
        <v>43881</v>
      </c>
      <c r="H23" s="1" t="s">
        <v>17</v>
      </c>
      <c r="I23" s="1" t="s">
        <v>25</v>
      </c>
      <c r="J23" s="1" t="s">
        <v>22</v>
      </c>
      <c r="K23" s="4">
        <f t="shared" ca="1" si="0"/>
        <v>6.1</v>
      </c>
      <c r="L23" t="str">
        <f t="shared" si="1"/>
        <v>Medium</v>
      </c>
      <c r="M23" t="str">
        <f t="shared" si="2"/>
        <v>Low</v>
      </c>
      <c r="N23" t="str">
        <f t="shared" si="3"/>
        <v>PIP</v>
      </c>
      <c r="O23" t="str">
        <f t="shared" ca="1" si="4"/>
        <v>Not Eligible</v>
      </c>
    </row>
    <row r="24" spans="1:15" x14ac:dyDescent="0.25">
      <c r="A24" t="s">
        <v>34</v>
      </c>
      <c r="B24">
        <v>40</v>
      </c>
      <c r="C24">
        <v>55000</v>
      </c>
      <c r="D24" t="s">
        <v>26</v>
      </c>
      <c r="E24" t="s">
        <v>23</v>
      </c>
      <c r="F24" t="s">
        <v>28</v>
      </c>
      <c r="G24" s="1">
        <v>43881</v>
      </c>
      <c r="H24" s="1" t="s">
        <v>24</v>
      </c>
      <c r="I24" s="1" t="s">
        <v>44</v>
      </c>
      <c r="J24" s="1" t="s">
        <v>32</v>
      </c>
      <c r="K24" s="4">
        <f t="shared" ca="1" si="0"/>
        <v>6.1</v>
      </c>
      <c r="L24" t="str">
        <f t="shared" si="1"/>
        <v>Low</v>
      </c>
      <c r="M24" t="str">
        <f t="shared" si="2"/>
        <v>High</v>
      </c>
      <c r="N24" t="str">
        <f t="shared" si="3"/>
        <v>No PIP</v>
      </c>
      <c r="O24" t="str">
        <f t="shared" ca="1" si="4"/>
        <v>Eligible</v>
      </c>
    </row>
    <row r="25" spans="1:15" x14ac:dyDescent="0.25">
      <c r="A25" t="s">
        <v>34</v>
      </c>
      <c r="B25">
        <v>25</v>
      </c>
      <c r="C25">
        <v>50000</v>
      </c>
      <c r="D25" t="s">
        <v>26</v>
      </c>
      <c r="E25" t="s">
        <v>15</v>
      </c>
      <c r="F25" t="s">
        <v>11</v>
      </c>
      <c r="G25" s="1">
        <v>43881</v>
      </c>
      <c r="H25" s="1" t="s">
        <v>12</v>
      </c>
      <c r="I25" s="1" t="s">
        <v>18</v>
      </c>
      <c r="J25" s="1" t="s">
        <v>22</v>
      </c>
      <c r="K25" s="4">
        <f t="shared" ca="1" si="0"/>
        <v>6.1</v>
      </c>
      <c r="L25" t="str">
        <f t="shared" si="1"/>
        <v>Low</v>
      </c>
      <c r="M25" t="str">
        <f t="shared" si="2"/>
        <v>Low</v>
      </c>
      <c r="N25" t="str">
        <f t="shared" si="3"/>
        <v>PIP</v>
      </c>
      <c r="O25" t="str">
        <f t="shared" ca="1" si="4"/>
        <v>Not Eligible</v>
      </c>
    </row>
    <row r="26" spans="1:15" x14ac:dyDescent="0.25">
      <c r="A26" t="s">
        <v>39</v>
      </c>
      <c r="B26">
        <v>40</v>
      </c>
      <c r="C26">
        <v>65000</v>
      </c>
      <c r="D26" t="s">
        <v>14</v>
      </c>
      <c r="E26" t="s">
        <v>27</v>
      </c>
      <c r="F26" t="s">
        <v>11</v>
      </c>
      <c r="G26" s="1">
        <v>43881</v>
      </c>
      <c r="H26" s="1" t="s">
        <v>21</v>
      </c>
      <c r="I26" s="1" t="s">
        <v>13</v>
      </c>
      <c r="J26" s="1" t="s">
        <v>32</v>
      </c>
      <c r="K26" s="4">
        <f t="shared" ca="1" si="0"/>
        <v>6.1</v>
      </c>
      <c r="L26" t="str">
        <f t="shared" si="1"/>
        <v>High</v>
      </c>
      <c r="M26" t="str">
        <f t="shared" si="2"/>
        <v>Medium</v>
      </c>
      <c r="N26" t="str">
        <f t="shared" si="3"/>
        <v>No PIP</v>
      </c>
      <c r="O26" t="str">
        <f t="shared" ca="1" si="4"/>
        <v>Not Eligible</v>
      </c>
    </row>
    <row r="27" spans="1:15" x14ac:dyDescent="0.25">
      <c r="A27" t="s">
        <v>34</v>
      </c>
      <c r="B27">
        <v>35</v>
      </c>
      <c r="C27">
        <v>55000</v>
      </c>
      <c r="D27" t="s">
        <v>26</v>
      </c>
      <c r="E27" t="s">
        <v>20</v>
      </c>
      <c r="F27" t="s">
        <v>30</v>
      </c>
      <c r="G27" s="1">
        <v>43881</v>
      </c>
      <c r="H27" s="1" t="s">
        <v>12</v>
      </c>
      <c r="I27" s="1" t="s">
        <v>25</v>
      </c>
      <c r="J27" s="1" t="s">
        <v>44</v>
      </c>
      <c r="K27" s="4">
        <f t="shared" ca="1" si="0"/>
        <v>6.1</v>
      </c>
      <c r="L27" t="str">
        <f t="shared" si="1"/>
        <v>Low</v>
      </c>
      <c r="M27" t="str">
        <f t="shared" si="2"/>
        <v>Low</v>
      </c>
      <c r="N27" t="str">
        <f t="shared" si="3"/>
        <v>PIP</v>
      </c>
      <c r="O27" t="str">
        <f t="shared" ca="1" si="4"/>
        <v>Not Eligible</v>
      </c>
    </row>
    <row r="28" spans="1:15" x14ac:dyDescent="0.25">
      <c r="A28" t="s">
        <v>39</v>
      </c>
      <c r="B28">
        <v>40</v>
      </c>
      <c r="C28">
        <v>60216</v>
      </c>
      <c r="D28" t="s">
        <v>26</v>
      </c>
      <c r="E28" t="s">
        <v>20</v>
      </c>
      <c r="F28" t="s">
        <v>30</v>
      </c>
      <c r="G28" s="1">
        <v>43881</v>
      </c>
      <c r="H28" s="1" t="s">
        <v>21</v>
      </c>
      <c r="I28" s="1" t="s">
        <v>44</v>
      </c>
      <c r="J28" s="1" t="s">
        <v>44</v>
      </c>
      <c r="K28" s="4">
        <f t="shared" ca="1" si="0"/>
        <v>6.1</v>
      </c>
      <c r="L28" t="str">
        <f t="shared" si="1"/>
        <v>Medium</v>
      </c>
      <c r="M28" t="str">
        <f t="shared" si="2"/>
        <v>Medium</v>
      </c>
      <c r="N28" t="str">
        <f t="shared" si="3"/>
        <v>No PIP</v>
      </c>
      <c r="O28" t="str">
        <f t="shared" ca="1" si="4"/>
        <v>Not Eligible</v>
      </c>
    </row>
    <row r="29" spans="1:15" x14ac:dyDescent="0.25">
      <c r="A29" t="s">
        <v>42</v>
      </c>
      <c r="B29">
        <v>40</v>
      </c>
      <c r="C29">
        <v>60216</v>
      </c>
      <c r="D29" t="s">
        <v>26</v>
      </c>
      <c r="E29" t="s">
        <v>23</v>
      </c>
      <c r="F29" t="s">
        <v>31</v>
      </c>
      <c r="G29" s="1">
        <v>43881</v>
      </c>
      <c r="H29" s="1" t="s">
        <v>21</v>
      </c>
      <c r="I29" s="1" t="s">
        <v>13</v>
      </c>
      <c r="J29" s="1" t="s">
        <v>44</v>
      </c>
      <c r="K29" s="4">
        <f t="shared" ca="1" si="0"/>
        <v>6.1</v>
      </c>
      <c r="L29" t="str">
        <f t="shared" si="1"/>
        <v>Medium</v>
      </c>
      <c r="M29" t="str">
        <f t="shared" si="2"/>
        <v>Medium</v>
      </c>
      <c r="N29" t="str">
        <f t="shared" si="3"/>
        <v>No PIP</v>
      </c>
      <c r="O29" t="str">
        <f t="shared" ca="1" si="4"/>
        <v>Not Eligible</v>
      </c>
    </row>
    <row r="30" spans="1:15" x14ac:dyDescent="0.25">
      <c r="A30" t="s">
        <v>42</v>
      </c>
      <c r="B30">
        <v>40</v>
      </c>
      <c r="C30">
        <v>70000</v>
      </c>
      <c r="D30" t="s">
        <v>9</v>
      </c>
      <c r="E30" t="s">
        <v>20</v>
      </c>
      <c r="F30" t="s">
        <v>11</v>
      </c>
      <c r="G30" s="1">
        <v>43881</v>
      </c>
      <c r="H30" s="1" t="s">
        <v>29</v>
      </c>
      <c r="I30" s="1" t="s">
        <v>18</v>
      </c>
      <c r="J30" s="1" t="s">
        <v>44</v>
      </c>
      <c r="K30" s="4">
        <f t="shared" ca="1" si="0"/>
        <v>6.1</v>
      </c>
      <c r="L30" t="str">
        <f t="shared" si="1"/>
        <v>High</v>
      </c>
      <c r="M30" t="str">
        <f t="shared" si="2"/>
        <v>Medium</v>
      </c>
      <c r="N30" t="str">
        <f t="shared" si="3"/>
        <v>No PIP</v>
      </c>
      <c r="O30" t="str">
        <f t="shared" ca="1" si="4"/>
        <v>Not Eligible</v>
      </c>
    </row>
    <row r="31" spans="1:15" x14ac:dyDescent="0.25">
      <c r="A31" t="s">
        <v>41</v>
      </c>
      <c r="B31">
        <v>30</v>
      </c>
      <c r="C31">
        <v>55000</v>
      </c>
      <c r="D31" t="s">
        <v>14</v>
      </c>
      <c r="E31" t="s">
        <v>20</v>
      </c>
      <c r="F31" t="s">
        <v>30</v>
      </c>
      <c r="G31" s="1">
        <v>43881</v>
      </c>
      <c r="H31" s="1" t="s">
        <v>17</v>
      </c>
      <c r="I31" s="1" t="s">
        <v>18</v>
      </c>
      <c r="J31" s="1" t="s">
        <v>32</v>
      </c>
      <c r="K31" s="4">
        <f t="shared" ca="1" si="0"/>
        <v>6.1</v>
      </c>
      <c r="L31" t="str">
        <f t="shared" si="1"/>
        <v>Low</v>
      </c>
      <c r="M31" t="str">
        <f t="shared" si="2"/>
        <v>Low</v>
      </c>
      <c r="N31" t="str">
        <f t="shared" si="3"/>
        <v>PIP</v>
      </c>
      <c r="O31" t="str">
        <f t="shared" ca="1" si="4"/>
        <v>Not Eligible</v>
      </c>
    </row>
    <row r="32" spans="1:15" x14ac:dyDescent="0.25">
      <c r="A32" t="s">
        <v>34</v>
      </c>
      <c r="B32">
        <v>35</v>
      </c>
      <c r="C32">
        <v>70000</v>
      </c>
      <c r="D32" t="s">
        <v>9</v>
      </c>
      <c r="E32" t="s">
        <v>10</v>
      </c>
      <c r="F32" t="s">
        <v>28</v>
      </c>
      <c r="G32" s="1">
        <v>43881</v>
      </c>
      <c r="H32" s="1" t="s">
        <v>24</v>
      </c>
      <c r="I32" s="1" t="s">
        <v>44</v>
      </c>
      <c r="J32" s="1" t="s">
        <v>44</v>
      </c>
      <c r="K32" s="4">
        <f t="shared" ca="1" si="0"/>
        <v>6.1</v>
      </c>
      <c r="L32" t="str">
        <f t="shared" si="1"/>
        <v>High</v>
      </c>
      <c r="M32" t="str">
        <f t="shared" si="2"/>
        <v>High</v>
      </c>
      <c r="N32" t="str">
        <f t="shared" si="3"/>
        <v>No PIP</v>
      </c>
      <c r="O32" t="str">
        <f t="shared" ca="1" si="4"/>
        <v>Eligible</v>
      </c>
    </row>
    <row r="33" spans="1:15" x14ac:dyDescent="0.25">
      <c r="A33" t="s">
        <v>33</v>
      </c>
      <c r="B33">
        <v>35</v>
      </c>
      <c r="C33">
        <v>65000</v>
      </c>
      <c r="D33" t="s">
        <v>26</v>
      </c>
      <c r="E33" t="s">
        <v>10</v>
      </c>
      <c r="F33" t="s">
        <v>11</v>
      </c>
      <c r="G33" s="1">
        <v>43881</v>
      </c>
      <c r="H33" s="1" t="s">
        <v>24</v>
      </c>
      <c r="I33" s="1" t="s">
        <v>25</v>
      </c>
      <c r="J33" s="1" t="s">
        <v>32</v>
      </c>
      <c r="K33" s="4">
        <f t="shared" ca="1" si="0"/>
        <v>6.1</v>
      </c>
      <c r="L33" t="str">
        <f t="shared" si="1"/>
        <v>High</v>
      </c>
      <c r="M33" t="str">
        <f t="shared" si="2"/>
        <v>High</v>
      </c>
      <c r="N33" t="str">
        <f t="shared" si="3"/>
        <v>No PIP</v>
      </c>
      <c r="O33" t="str">
        <f t="shared" ca="1" si="4"/>
        <v>Eligible</v>
      </c>
    </row>
    <row r="34" spans="1:15" x14ac:dyDescent="0.25">
      <c r="A34" t="s">
        <v>41</v>
      </c>
      <c r="B34">
        <v>50</v>
      </c>
      <c r="C34">
        <v>55000</v>
      </c>
      <c r="D34" t="s">
        <v>9</v>
      </c>
      <c r="E34" t="s">
        <v>10</v>
      </c>
      <c r="F34" t="s">
        <v>28</v>
      </c>
      <c r="G34" s="1">
        <v>43881</v>
      </c>
      <c r="H34" s="1" t="s">
        <v>21</v>
      </c>
      <c r="I34" s="1" t="s">
        <v>44</v>
      </c>
      <c r="J34" s="1" t="s">
        <v>44</v>
      </c>
      <c r="K34" s="4">
        <f t="shared" ca="1" si="0"/>
        <v>6.1</v>
      </c>
      <c r="L34" t="str">
        <f t="shared" si="1"/>
        <v>Low</v>
      </c>
      <c r="M34" t="str">
        <f t="shared" si="2"/>
        <v>Medium</v>
      </c>
      <c r="N34" t="str">
        <f t="shared" si="3"/>
        <v>No PIP</v>
      </c>
      <c r="O34" t="str">
        <f t="shared" ca="1" si="4"/>
        <v>Not Eligible</v>
      </c>
    </row>
    <row r="35" spans="1:15" x14ac:dyDescent="0.25">
      <c r="A35" t="s">
        <v>41</v>
      </c>
      <c r="B35">
        <v>40</v>
      </c>
      <c r="C35">
        <v>60000</v>
      </c>
      <c r="D35" t="s">
        <v>9</v>
      </c>
      <c r="E35" t="s">
        <v>20</v>
      </c>
      <c r="F35" t="s">
        <v>11</v>
      </c>
      <c r="G35" s="1">
        <v>43881</v>
      </c>
      <c r="H35" s="1" t="s">
        <v>21</v>
      </c>
      <c r="I35" s="1" t="s">
        <v>25</v>
      </c>
      <c r="J35" s="1" t="s">
        <v>44</v>
      </c>
      <c r="K35" s="4">
        <f t="shared" ca="1" si="0"/>
        <v>6.1</v>
      </c>
      <c r="L35" t="str">
        <f t="shared" si="1"/>
        <v>Medium</v>
      </c>
      <c r="M35" t="str">
        <f t="shared" si="2"/>
        <v>Medium</v>
      </c>
      <c r="N35" t="str">
        <f t="shared" si="3"/>
        <v>No PIP</v>
      </c>
      <c r="O35" t="str">
        <f t="shared" ca="1" si="4"/>
        <v>Not Eligible</v>
      </c>
    </row>
    <row r="36" spans="1:15" x14ac:dyDescent="0.25">
      <c r="A36" t="s">
        <v>40</v>
      </c>
      <c r="B36">
        <v>35</v>
      </c>
      <c r="C36">
        <v>65000</v>
      </c>
      <c r="D36" t="s">
        <v>9</v>
      </c>
      <c r="E36" t="s">
        <v>27</v>
      </c>
      <c r="F36" t="s">
        <v>31</v>
      </c>
      <c r="G36" s="1">
        <v>43881</v>
      </c>
      <c r="H36" s="1" t="s">
        <v>12</v>
      </c>
      <c r="I36" s="1" t="s">
        <v>13</v>
      </c>
      <c r="J36" s="1" t="s">
        <v>32</v>
      </c>
      <c r="K36" s="4">
        <f t="shared" ca="1" si="0"/>
        <v>6.1</v>
      </c>
      <c r="L36" t="str">
        <f t="shared" si="1"/>
        <v>High</v>
      </c>
      <c r="M36" t="str">
        <f t="shared" si="2"/>
        <v>Low</v>
      </c>
      <c r="N36" t="str">
        <f t="shared" si="3"/>
        <v>PIP</v>
      </c>
      <c r="O36" t="str">
        <f t="shared" ca="1" si="4"/>
        <v>Not Eligible</v>
      </c>
    </row>
    <row r="37" spans="1:15" x14ac:dyDescent="0.25">
      <c r="A37" t="s">
        <v>33</v>
      </c>
      <c r="B37">
        <v>30</v>
      </c>
      <c r="C37">
        <v>55000</v>
      </c>
      <c r="D37" t="s">
        <v>9</v>
      </c>
      <c r="E37" t="s">
        <v>27</v>
      </c>
      <c r="F37" t="s">
        <v>28</v>
      </c>
      <c r="G37" s="1">
        <v>43881</v>
      </c>
      <c r="H37" s="1" t="s">
        <v>21</v>
      </c>
      <c r="I37" s="1" t="s">
        <v>44</v>
      </c>
      <c r="J37" s="1" t="s">
        <v>19</v>
      </c>
      <c r="K37" s="4">
        <f t="shared" ca="1" si="0"/>
        <v>6.1</v>
      </c>
      <c r="L37" t="str">
        <f t="shared" si="1"/>
        <v>Low</v>
      </c>
      <c r="M37" t="str">
        <f t="shared" si="2"/>
        <v>Medium</v>
      </c>
      <c r="N37" t="str">
        <f t="shared" si="3"/>
        <v>No PIP</v>
      </c>
      <c r="O37" t="str">
        <f t="shared" ca="1" si="4"/>
        <v>Not Eligible</v>
      </c>
    </row>
    <row r="38" spans="1:15" x14ac:dyDescent="0.25">
      <c r="A38" t="s">
        <v>33</v>
      </c>
      <c r="B38">
        <v>30</v>
      </c>
      <c r="C38">
        <v>60216</v>
      </c>
      <c r="D38" t="s">
        <v>26</v>
      </c>
      <c r="E38" t="s">
        <v>23</v>
      </c>
      <c r="F38" t="s">
        <v>11</v>
      </c>
      <c r="G38" s="1">
        <v>43881</v>
      </c>
      <c r="H38" s="1" t="s">
        <v>24</v>
      </c>
      <c r="I38" s="1" t="s">
        <v>18</v>
      </c>
      <c r="J38" s="1" t="s">
        <v>22</v>
      </c>
      <c r="K38" s="4">
        <f t="shared" ca="1" si="0"/>
        <v>6.1</v>
      </c>
      <c r="L38" t="str">
        <f t="shared" si="1"/>
        <v>Medium</v>
      </c>
      <c r="M38" t="str">
        <f t="shared" si="2"/>
        <v>High</v>
      </c>
      <c r="N38" t="str">
        <f t="shared" si="3"/>
        <v>No PIP</v>
      </c>
      <c r="O38" t="str">
        <f t="shared" ca="1" si="4"/>
        <v>Eligible</v>
      </c>
    </row>
    <row r="39" spans="1:15" x14ac:dyDescent="0.25">
      <c r="A39" t="s">
        <v>40</v>
      </c>
      <c r="B39">
        <v>50</v>
      </c>
      <c r="C39">
        <v>70000</v>
      </c>
      <c r="D39" t="s">
        <v>9</v>
      </c>
      <c r="E39" t="s">
        <v>20</v>
      </c>
      <c r="F39" t="s">
        <v>11</v>
      </c>
      <c r="G39" s="1">
        <v>43881</v>
      </c>
      <c r="H39" s="1" t="s">
        <v>24</v>
      </c>
      <c r="I39" s="1" t="s">
        <v>44</v>
      </c>
      <c r="J39" s="1" t="s">
        <v>22</v>
      </c>
      <c r="K39" s="4">
        <f t="shared" ca="1" si="0"/>
        <v>6.1</v>
      </c>
      <c r="L39" t="str">
        <f t="shared" si="1"/>
        <v>High</v>
      </c>
      <c r="M39" t="str">
        <f t="shared" si="2"/>
        <v>High</v>
      </c>
      <c r="N39" t="str">
        <f t="shared" si="3"/>
        <v>No PIP</v>
      </c>
      <c r="O39" t="str">
        <f t="shared" ca="1" si="4"/>
        <v>Eligible</v>
      </c>
    </row>
    <row r="40" spans="1:15" x14ac:dyDescent="0.25">
      <c r="A40" t="s">
        <v>39</v>
      </c>
      <c r="B40">
        <v>50</v>
      </c>
      <c r="C40">
        <v>50000</v>
      </c>
      <c r="D40" t="s">
        <v>9</v>
      </c>
      <c r="E40" t="s">
        <v>10</v>
      </c>
      <c r="F40" t="s">
        <v>11</v>
      </c>
      <c r="G40" s="1">
        <v>43881</v>
      </c>
      <c r="H40" s="1" t="s">
        <v>12</v>
      </c>
      <c r="I40" s="1" t="s">
        <v>18</v>
      </c>
      <c r="J40" s="1" t="s">
        <v>22</v>
      </c>
      <c r="K40" s="4">
        <f t="shared" ca="1" si="0"/>
        <v>6.1</v>
      </c>
      <c r="L40" t="str">
        <f t="shared" si="1"/>
        <v>Low</v>
      </c>
      <c r="M40" t="str">
        <f t="shared" si="2"/>
        <v>Low</v>
      </c>
      <c r="N40" t="str">
        <f t="shared" si="3"/>
        <v>PIP</v>
      </c>
      <c r="O40" t="str">
        <f t="shared" ca="1" si="4"/>
        <v>Not Eligible</v>
      </c>
    </row>
    <row r="41" spans="1:15" x14ac:dyDescent="0.25">
      <c r="A41" t="s">
        <v>39</v>
      </c>
      <c r="B41">
        <v>30</v>
      </c>
      <c r="C41">
        <v>60000</v>
      </c>
      <c r="D41" t="s">
        <v>9</v>
      </c>
      <c r="E41" t="s">
        <v>15</v>
      </c>
      <c r="F41" t="s">
        <v>16</v>
      </c>
      <c r="G41" s="1">
        <v>43881</v>
      </c>
      <c r="H41" s="1" t="s">
        <v>29</v>
      </c>
      <c r="I41" s="1" t="s">
        <v>44</v>
      </c>
      <c r="J41" s="1" t="s">
        <v>19</v>
      </c>
      <c r="K41" s="4">
        <f t="shared" ca="1" si="0"/>
        <v>6.1</v>
      </c>
      <c r="L41" t="str">
        <f t="shared" si="1"/>
        <v>Medium</v>
      </c>
      <c r="M41" t="str">
        <f t="shared" si="2"/>
        <v>Medium</v>
      </c>
      <c r="N41" t="str">
        <f t="shared" si="3"/>
        <v>No PIP</v>
      </c>
      <c r="O41" t="str">
        <f t="shared" ca="1" si="4"/>
        <v>Not Eligible</v>
      </c>
    </row>
    <row r="42" spans="1:15" x14ac:dyDescent="0.25">
      <c r="A42" t="s">
        <v>34</v>
      </c>
      <c r="B42">
        <v>40</v>
      </c>
      <c r="C42">
        <v>55000</v>
      </c>
      <c r="D42" t="s">
        <v>9</v>
      </c>
      <c r="E42" t="s">
        <v>10</v>
      </c>
      <c r="F42" t="s">
        <v>30</v>
      </c>
      <c r="G42" s="1">
        <v>43881</v>
      </c>
      <c r="H42" s="1" t="s">
        <v>21</v>
      </c>
      <c r="I42" s="1" t="s">
        <v>18</v>
      </c>
      <c r="J42" s="1" t="s">
        <v>44</v>
      </c>
      <c r="K42" s="4">
        <f t="shared" ca="1" si="0"/>
        <v>6.1</v>
      </c>
      <c r="L42" t="str">
        <f t="shared" si="1"/>
        <v>Low</v>
      </c>
      <c r="M42" t="str">
        <f t="shared" si="2"/>
        <v>Medium</v>
      </c>
      <c r="N42" t="str">
        <f t="shared" si="3"/>
        <v>No PIP</v>
      </c>
      <c r="O42" t="str">
        <f t="shared" ca="1" si="4"/>
        <v>Not Eligible</v>
      </c>
    </row>
    <row r="43" spans="1:15" x14ac:dyDescent="0.25">
      <c r="A43" t="s">
        <v>41</v>
      </c>
      <c r="B43">
        <v>25</v>
      </c>
      <c r="C43">
        <v>60000</v>
      </c>
      <c r="D43" t="s">
        <v>9</v>
      </c>
      <c r="E43" t="s">
        <v>20</v>
      </c>
      <c r="F43" t="s">
        <v>30</v>
      </c>
      <c r="G43" s="1">
        <v>43881</v>
      </c>
      <c r="H43" s="1" t="s">
        <v>12</v>
      </c>
      <c r="I43" s="1" t="s">
        <v>44</v>
      </c>
      <c r="J43" s="1" t="s">
        <v>44</v>
      </c>
      <c r="K43" s="4">
        <f t="shared" ca="1" si="0"/>
        <v>6.1</v>
      </c>
      <c r="L43" t="str">
        <f t="shared" si="1"/>
        <v>Medium</v>
      </c>
      <c r="M43" t="str">
        <f t="shared" si="2"/>
        <v>Low</v>
      </c>
      <c r="N43" t="str">
        <f t="shared" si="3"/>
        <v>PIP</v>
      </c>
      <c r="O43" t="str">
        <f t="shared" ca="1" si="4"/>
        <v>Not Eligible</v>
      </c>
    </row>
    <row r="44" spans="1:15" x14ac:dyDescent="0.25">
      <c r="A44" t="s">
        <v>42</v>
      </c>
      <c r="B44">
        <v>50</v>
      </c>
      <c r="C44">
        <v>60216</v>
      </c>
      <c r="D44" t="s">
        <v>26</v>
      </c>
      <c r="E44" t="s">
        <v>27</v>
      </c>
      <c r="F44" t="s">
        <v>11</v>
      </c>
      <c r="G44" s="1">
        <v>43881</v>
      </c>
      <c r="H44" s="1" t="s">
        <v>17</v>
      </c>
      <c r="I44" s="1" t="s">
        <v>25</v>
      </c>
      <c r="J44" s="1" t="s">
        <v>32</v>
      </c>
      <c r="K44" s="4">
        <f t="shared" ca="1" si="0"/>
        <v>6.1</v>
      </c>
      <c r="L44" t="str">
        <f t="shared" si="1"/>
        <v>Medium</v>
      </c>
      <c r="M44" t="str">
        <f t="shared" si="2"/>
        <v>Low</v>
      </c>
      <c r="N44" t="str">
        <f t="shared" si="3"/>
        <v>PIP</v>
      </c>
      <c r="O44" t="str">
        <f t="shared" ca="1" si="4"/>
        <v>Not Eligible</v>
      </c>
    </row>
    <row r="45" spans="1:15" x14ac:dyDescent="0.25">
      <c r="A45" t="s">
        <v>37</v>
      </c>
      <c r="B45">
        <v>30</v>
      </c>
      <c r="C45">
        <v>65000</v>
      </c>
      <c r="D45" t="s">
        <v>26</v>
      </c>
      <c r="E45" t="s">
        <v>15</v>
      </c>
      <c r="F45" t="s">
        <v>28</v>
      </c>
      <c r="G45" s="1">
        <v>43881</v>
      </c>
      <c r="H45" s="1" t="s">
        <v>17</v>
      </c>
      <c r="I45" s="1" t="s">
        <v>44</v>
      </c>
      <c r="J45" s="1" t="s">
        <v>32</v>
      </c>
      <c r="K45" s="4">
        <f t="shared" ca="1" si="0"/>
        <v>6.1</v>
      </c>
      <c r="L45" t="str">
        <f t="shared" si="1"/>
        <v>High</v>
      </c>
      <c r="M45" t="str">
        <f t="shared" si="2"/>
        <v>Low</v>
      </c>
      <c r="N45" t="str">
        <f t="shared" si="3"/>
        <v>PIP</v>
      </c>
      <c r="O45" t="str">
        <f t="shared" ca="1" si="4"/>
        <v>Not Eligible</v>
      </c>
    </row>
    <row r="46" spans="1:15" x14ac:dyDescent="0.25">
      <c r="A46" t="s">
        <v>42</v>
      </c>
      <c r="B46">
        <v>25</v>
      </c>
      <c r="C46">
        <v>60000</v>
      </c>
      <c r="D46" t="s">
        <v>9</v>
      </c>
      <c r="E46" t="s">
        <v>10</v>
      </c>
      <c r="F46" t="s">
        <v>28</v>
      </c>
      <c r="G46" s="1">
        <v>43881</v>
      </c>
      <c r="H46" s="1" t="s">
        <v>29</v>
      </c>
      <c r="I46" s="1" t="s">
        <v>44</v>
      </c>
      <c r="J46" s="1" t="s">
        <v>19</v>
      </c>
      <c r="K46" s="4">
        <f t="shared" ca="1" si="0"/>
        <v>6.1</v>
      </c>
      <c r="L46" t="str">
        <f t="shared" si="1"/>
        <v>Medium</v>
      </c>
      <c r="M46" t="str">
        <f t="shared" si="2"/>
        <v>Medium</v>
      </c>
      <c r="N46" t="str">
        <f t="shared" si="3"/>
        <v>No PIP</v>
      </c>
      <c r="O46" t="str">
        <f t="shared" ca="1" si="4"/>
        <v>Not Eligible</v>
      </c>
    </row>
    <row r="47" spans="1:15" x14ac:dyDescent="0.25">
      <c r="A47" t="s">
        <v>41</v>
      </c>
      <c r="B47">
        <v>35</v>
      </c>
      <c r="C47">
        <v>70000</v>
      </c>
      <c r="D47" t="s">
        <v>14</v>
      </c>
      <c r="E47" t="s">
        <v>10</v>
      </c>
      <c r="F47" t="s">
        <v>11</v>
      </c>
      <c r="G47" s="1">
        <v>43881</v>
      </c>
      <c r="H47" s="1" t="s">
        <v>29</v>
      </c>
      <c r="I47" s="1" t="s">
        <v>25</v>
      </c>
      <c r="J47" s="1" t="s">
        <v>19</v>
      </c>
      <c r="K47" s="4">
        <f t="shared" ca="1" si="0"/>
        <v>6.1</v>
      </c>
      <c r="L47" t="str">
        <f t="shared" si="1"/>
        <v>High</v>
      </c>
      <c r="M47" t="str">
        <f t="shared" si="2"/>
        <v>Medium</v>
      </c>
      <c r="N47" t="str">
        <f t="shared" si="3"/>
        <v>No PIP</v>
      </c>
      <c r="O47" t="str">
        <f t="shared" ca="1" si="4"/>
        <v>Not Eligible</v>
      </c>
    </row>
    <row r="48" spans="1:15" x14ac:dyDescent="0.25">
      <c r="A48" t="s">
        <v>42</v>
      </c>
      <c r="B48">
        <v>40</v>
      </c>
      <c r="C48">
        <v>70000</v>
      </c>
      <c r="D48" t="s">
        <v>26</v>
      </c>
      <c r="E48" t="s">
        <v>27</v>
      </c>
      <c r="F48" t="s">
        <v>16</v>
      </c>
      <c r="G48" s="1">
        <v>43881</v>
      </c>
      <c r="H48" s="1" t="s">
        <v>24</v>
      </c>
      <c r="I48" s="1" t="s">
        <v>18</v>
      </c>
      <c r="J48" s="1" t="s">
        <v>44</v>
      </c>
      <c r="K48" s="4">
        <f t="shared" ca="1" si="0"/>
        <v>6.1</v>
      </c>
      <c r="L48" t="str">
        <f t="shared" si="1"/>
        <v>High</v>
      </c>
      <c r="M48" t="str">
        <f t="shared" si="2"/>
        <v>High</v>
      </c>
      <c r="N48" t="str">
        <f t="shared" si="3"/>
        <v>No PIP</v>
      </c>
      <c r="O48" t="str">
        <f t="shared" ca="1" si="4"/>
        <v>Eligible</v>
      </c>
    </row>
    <row r="49" spans="1:15" x14ac:dyDescent="0.25">
      <c r="A49" t="s">
        <v>38</v>
      </c>
      <c r="B49">
        <v>40</v>
      </c>
      <c r="C49">
        <v>70000</v>
      </c>
      <c r="D49" t="s">
        <v>14</v>
      </c>
      <c r="E49" t="s">
        <v>10</v>
      </c>
      <c r="F49" t="s">
        <v>16</v>
      </c>
      <c r="G49" s="1">
        <v>43881</v>
      </c>
      <c r="H49" s="1" t="s">
        <v>12</v>
      </c>
      <c r="I49" s="1" t="s">
        <v>13</v>
      </c>
      <c r="J49" s="1" t="s">
        <v>22</v>
      </c>
      <c r="K49" s="4">
        <f t="shared" ca="1" si="0"/>
        <v>6.1</v>
      </c>
      <c r="L49" t="str">
        <f t="shared" si="1"/>
        <v>High</v>
      </c>
      <c r="M49" t="str">
        <f t="shared" si="2"/>
        <v>Low</v>
      </c>
      <c r="N49" t="str">
        <f t="shared" si="3"/>
        <v>PIP</v>
      </c>
      <c r="O49" t="str">
        <f t="shared" ca="1" si="4"/>
        <v>Not Eligible</v>
      </c>
    </row>
    <row r="50" spans="1:15" x14ac:dyDescent="0.25">
      <c r="A50" t="s">
        <v>35</v>
      </c>
      <c r="B50">
        <v>50</v>
      </c>
      <c r="C50">
        <v>55000</v>
      </c>
      <c r="D50" t="s">
        <v>14</v>
      </c>
      <c r="E50" t="s">
        <v>27</v>
      </c>
      <c r="F50" t="s">
        <v>28</v>
      </c>
      <c r="G50" s="1">
        <v>43881</v>
      </c>
      <c r="H50" s="1" t="s">
        <v>12</v>
      </c>
      <c r="I50" s="1" t="s">
        <v>25</v>
      </c>
      <c r="J50" s="1" t="s">
        <v>19</v>
      </c>
      <c r="K50" s="4">
        <f t="shared" ca="1" si="0"/>
        <v>6.1</v>
      </c>
      <c r="L50" t="str">
        <f t="shared" si="1"/>
        <v>Low</v>
      </c>
      <c r="M50" t="str">
        <f t="shared" si="2"/>
        <v>Low</v>
      </c>
      <c r="N50" t="str">
        <f t="shared" si="3"/>
        <v>PIP</v>
      </c>
      <c r="O50" t="str">
        <f t="shared" ca="1" si="4"/>
        <v>Not Eligible</v>
      </c>
    </row>
    <row r="51" spans="1:15" x14ac:dyDescent="0.25">
      <c r="A51" t="s">
        <v>35</v>
      </c>
      <c r="B51">
        <v>50</v>
      </c>
      <c r="C51">
        <v>60216</v>
      </c>
      <c r="D51" t="s">
        <v>9</v>
      </c>
      <c r="E51" t="s">
        <v>10</v>
      </c>
      <c r="F51" t="s">
        <v>16</v>
      </c>
      <c r="G51" s="1">
        <v>43881</v>
      </c>
      <c r="H51" s="1" t="s">
        <v>12</v>
      </c>
      <c r="I51" s="1" t="s">
        <v>25</v>
      </c>
      <c r="J51" s="1" t="s">
        <v>19</v>
      </c>
      <c r="K51" s="4">
        <f t="shared" ca="1" si="0"/>
        <v>6.1</v>
      </c>
      <c r="L51" t="str">
        <f t="shared" si="1"/>
        <v>Medium</v>
      </c>
      <c r="M51" t="str">
        <f t="shared" si="2"/>
        <v>Low</v>
      </c>
      <c r="N51" t="str">
        <f t="shared" si="3"/>
        <v>PIP</v>
      </c>
      <c r="O51" t="str">
        <f t="shared" ca="1" si="4"/>
        <v>Not Eligible</v>
      </c>
    </row>
    <row r="52" spans="1:15" x14ac:dyDescent="0.25">
      <c r="A52" t="s">
        <v>35</v>
      </c>
      <c r="B52">
        <v>35</v>
      </c>
      <c r="C52">
        <v>70000</v>
      </c>
      <c r="D52" t="s">
        <v>14</v>
      </c>
      <c r="E52" t="s">
        <v>15</v>
      </c>
      <c r="F52" t="s">
        <v>11</v>
      </c>
      <c r="G52" s="1">
        <v>43881</v>
      </c>
      <c r="H52" s="1" t="s">
        <v>24</v>
      </c>
      <c r="I52" s="1" t="s">
        <v>44</v>
      </c>
      <c r="J52" s="1" t="s">
        <v>19</v>
      </c>
      <c r="K52" s="4">
        <f t="shared" ca="1" si="0"/>
        <v>6.1</v>
      </c>
      <c r="L52" t="str">
        <f t="shared" si="1"/>
        <v>High</v>
      </c>
      <c r="M52" t="str">
        <f t="shared" si="2"/>
        <v>High</v>
      </c>
      <c r="N52" t="str">
        <f t="shared" si="3"/>
        <v>No PIP</v>
      </c>
      <c r="O52" t="str">
        <f t="shared" ca="1" si="4"/>
        <v>Eligible</v>
      </c>
    </row>
    <row r="53" spans="1:15" x14ac:dyDescent="0.25">
      <c r="A53" t="s">
        <v>34</v>
      </c>
      <c r="B53">
        <v>50</v>
      </c>
      <c r="C53">
        <v>70000</v>
      </c>
      <c r="D53" t="s">
        <v>14</v>
      </c>
      <c r="E53" t="s">
        <v>10</v>
      </c>
      <c r="F53" t="s">
        <v>31</v>
      </c>
      <c r="G53" s="1">
        <v>43881</v>
      </c>
      <c r="H53" s="1" t="s">
        <v>24</v>
      </c>
      <c r="I53" s="1" t="s">
        <v>13</v>
      </c>
      <c r="J53" s="1" t="s">
        <v>32</v>
      </c>
      <c r="K53" s="4">
        <f t="shared" ca="1" si="0"/>
        <v>6.1</v>
      </c>
      <c r="L53" t="str">
        <f t="shared" si="1"/>
        <v>High</v>
      </c>
      <c r="M53" t="str">
        <f t="shared" si="2"/>
        <v>High</v>
      </c>
      <c r="N53" t="str">
        <f t="shared" si="3"/>
        <v>No PIP</v>
      </c>
      <c r="O53" t="str">
        <f t="shared" ca="1" si="4"/>
        <v>Eligible</v>
      </c>
    </row>
    <row r="54" spans="1:15" x14ac:dyDescent="0.25">
      <c r="A54" t="s">
        <v>35</v>
      </c>
      <c r="B54">
        <v>35</v>
      </c>
      <c r="C54">
        <v>60216</v>
      </c>
      <c r="D54" t="s">
        <v>26</v>
      </c>
      <c r="E54" t="s">
        <v>20</v>
      </c>
      <c r="F54" t="s">
        <v>11</v>
      </c>
      <c r="G54" s="1">
        <v>43881</v>
      </c>
      <c r="H54" s="1" t="s">
        <v>12</v>
      </c>
      <c r="I54" s="1" t="s">
        <v>44</v>
      </c>
      <c r="J54" s="1" t="s">
        <v>19</v>
      </c>
      <c r="K54" s="4">
        <f t="shared" ca="1" si="0"/>
        <v>6.1</v>
      </c>
      <c r="L54" t="str">
        <f t="shared" si="1"/>
        <v>Medium</v>
      </c>
      <c r="M54" t="str">
        <f t="shared" si="2"/>
        <v>Low</v>
      </c>
      <c r="N54" t="str">
        <f t="shared" si="3"/>
        <v>PIP</v>
      </c>
      <c r="O54" t="str">
        <f t="shared" ca="1" si="4"/>
        <v>Not Eligible</v>
      </c>
    </row>
    <row r="55" spans="1:15" x14ac:dyDescent="0.25">
      <c r="A55" t="s">
        <v>41</v>
      </c>
      <c r="B55">
        <v>35</v>
      </c>
      <c r="C55">
        <v>65000</v>
      </c>
      <c r="D55" t="s">
        <v>14</v>
      </c>
      <c r="E55" t="s">
        <v>27</v>
      </c>
      <c r="F55" t="s">
        <v>31</v>
      </c>
      <c r="G55" s="1">
        <v>43881</v>
      </c>
      <c r="H55" s="1" t="s">
        <v>29</v>
      </c>
      <c r="I55" s="1" t="s">
        <v>44</v>
      </c>
      <c r="J55" s="1" t="s">
        <v>44</v>
      </c>
      <c r="K55" s="4">
        <f t="shared" ca="1" si="0"/>
        <v>6.1</v>
      </c>
      <c r="L55" t="str">
        <f t="shared" si="1"/>
        <v>High</v>
      </c>
      <c r="M55" t="str">
        <f t="shared" si="2"/>
        <v>Medium</v>
      </c>
      <c r="N55" t="str">
        <f t="shared" si="3"/>
        <v>No PIP</v>
      </c>
      <c r="O55" t="str">
        <f t="shared" ca="1" si="4"/>
        <v>Not Eligible</v>
      </c>
    </row>
    <row r="56" spans="1:15" x14ac:dyDescent="0.25">
      <c r="A56" t="s">
        <v>38</v>
      </c>
      <c r="B56">
        <v>25</v>
      </c>
      <c r="C56">
        <v>60000</v>
      </c>
      <c r="D56" t="s">
        <v>26</v>
      </c>
      <c r="E56" t="s">
        <v>15</v>
      </c>
      <c r="F56" t="s">
        <v>31</v>
      </c>
      <c r="G56" s="1">
        <v>43881</v>
      </c>
      <c r="H56" s="1" t="s">
        <v>29</v>
      </c>
      <c r="I56" s="1" t="s">
        <v>44</v>
      </c>
      <c r="J56" s="1" t="s">
        <v>44</v>
      </c>
      <c r="K56" s="4">
        <f t="shared" ca="1" si="0"/>
        <v>6.1</v>
      </c>
      <c r="L56" t="str">
        <f t="shared" si="1"/>
        <v>Medium</v>
      </c>
      <c r="M56" t="str">
        <f t="shared" si="2"/>
        <v>Medium</v>
      </c>
      <c r="N56" t="str">
        <f t="shared" si="3"/>
        <v>No PIP</v>
      </c>
      <c r="O56" t="str">
        <f t="shared" ca="1" si="4"/>
        <v>Not Eligible</v>
      </c>
    </row>
    <row r="57" spans="1:15" x14ac:dyDescent="0.25">
      <c r="A57" t="s">
        <v>39</v>
      </c>
      <c r="B57">
        <v>40</v>
      </c>
      <c r="C57">
        <v>65000</v>
      </c>
      <c r="D57" t="s">
        <v>9</v>
      </c>
      <c r="E57" t="s">
        <v>10</v>
      </c>
      <c r="F57" t="s">
        <v>28</v>
      </c>
      <c r="G57" s="1">
        <v>43881</v>
      </c>
      <c r="H57" s="1" t="s">
        <v>29</v>
      </c>
      <c r="I57" s="1" t="s">
        <v>25</v>
      </c>
      <c r="J57" s="1" t="s">
        <v>22</v>
      </c>
      <c r="K57" s="4">
        <f t="shared" ca="1" si="0"/>
        <v>6.1</v>
      </c>
      <c r="L57" t="str">
        <f t="shared" si="1"/>
        <v>High</v>
      </c>
      <c r="M57" t="str">
        <f t="shared" si="2"/>
        <v>Medium</v>
      </c>
      <c r="N57" t="str">
        <f t="shared" si="3"/>
        <v>No PIP</v>
      </c>
      <c r="O57" t="str">
        <f t="shared" ca="1" si="4"/>
        <v>Not Eligible</v>
      </c>
    </row>
    <row r="58" spans="1:15" x14ac:dyDescent="0.25">
      <c r="A58" t="s">
        <v>35</v>
      </c>
      <c r="B58">
        <v>30</v>
      </c>
      <c r="C58">
        <v>65000</v>
      </c>
      <c r="D58" t="s">
        <v>9</v>
      </c>
      <c r="E58" t="s">
        <v>15</v>
      </c>
      <c r="F58" t="s">
        <v>16</v>
      </c>
      <c r="G58" s="1">
        <v>43881</v>
      </c>
      <c r="H58" s="1" t="s">
        <v>12</v>
      </c>
      <c r="I58" s="1" t="s">
        <v>44</v>
      </c>
      <c r="J58" s="1" t="s">
        <v>44</v>
      </c>
      <c r="K58" s="4">
        <f t="shared" ca="1" si="0"/>
        <v>6.1</v>
      </c>
      <c r="L58" t="str">
        <f t="shared" si="1"/>
        <v>High</v>
      </c>
      <c r="M58" t="str">
        <f t="shared" si="2"/>
        <v>Low</v>
      </c>
      <c r="N58" t="str">
        <f t="shared" si="3"/>
        <v>PIP</v>
      </c>
      <c r="O58" t="str">
        <f t="shared" ca="1" si="4"/>
        <v>Not Eligible</v>
      </c>
    </row>
    <row r="59" spans="1:15" x14ac:dyDescent="0.25">
      <c r="A59" t="s">
        <v>36</v>
      </c>
      <c r="B59">
        <v>25</v>
      </c>
      <c r="C59">
        <v>50000</v>
      </c>
      <c r="D59" t="s">
        <v>26</v>
      </c>
      <c r="E59" t="s">
        <v>20</v>
      </c>
      <c r="F59" t="s">
        <v>11</v>
      </c>
      <c r="G59" s="1">
        <v>43881</v>
      </c>
      <c r="H59" s="1" t="s">
        <v>29</v>
      </c>
      <c r="I59" s="1" t="s">
        <v>44</v>
      </c>
      <c r="J59" s="1" t="s">
        <v>44</v>
      </c>
      <c r="K59" s="4">
        <f t="shared" ca="1" si="0"/>
        <v>6.1</v>
      </c>
      <c r="L59" t="str">
        <f t="shared" si="1"/>
        <v>Low</v>
      </c>
      <c r="M59" t="str">
        <f t="shared" si="2"/>
        <v>Medium</v>
      </c>
      <c r="N59" t="str">
        <f t="shared" si="3"/>
        <v>No PIP</v>
      </c>
      <c r="O59" t="str">
        <f t="shared" ca="1" si="4"/>
        <v>Not Eligible</v>
      </c>
    </row>
    <row r="60" spans="1:15" x14ac:dyDescent="0.25">
      <c r="A60" t="s">
        <v>38</v>
      </c>
      <c r="B60">
        <v>35</v>
      </c>
      <c r="C60">
        <v>55000</v>
      </c>
      <c r="D60" t="s">
        <v>9</v>
      </c>
      <c r="E60" t="s">
        <v>27</v>
      </c>
      <c r="F60" t="s">
        <v>16</v>
      </c>
      <c r="G60" s="1">
        <v>43881</v>
      </c>
      <c r="H60" s="1" t="s">
        <v>12</v>
      </c>
      <c r="I60" s="1" t="s">
        <v>18</v>
      </c>
      <c r="J60" s="1" t="s">
        <v>44</v>
      </c>
      <c r="K60" s="4">
        <f t="shared" ca="1" si="0"/>
        <v>6.1</v>
      </c>
      <c r="L60" t="str">
        <f t="shared" si="1"/>
        <v>Low</v>
      </c>
      <c r="M60" t="str">
        <f t="shared" si="2"/>
        <v>Low</v>
      </c>
      <c r="N60" t="str">
        <f t="shared" si="3"/>
        <v>PIP</v>
      </c>
      <c r="O60" t="str">
        <f t="shared" ca="1" si="4"/>
        <v>Not Eligible</v>
      </c>
    </row>
    <row r="61" spans="1:15" x14ac:dyDescent="0.25">
      <c r="A61" t="s">
        <v>37</v>
      </c>
      <c r="B61">
        <v>30</v>
      </c>
      <c r="C61">
        <v>60000</v>
      </c>
      <c r="D61" t="s">
        <v>26</v>
      </c>
      <c r="E61" t="s">
        <v>15</v>
      </c>
      <c r="F61" t="s">
        <v>28</v>
      </c>
      <c r="G61" s="1">
        <v>43881</v>
      </c>
      <c r="H61" s="1" t="s">
        <v>24</v>
      </c>
      <c r="I61" s="1" t="s">
        <v>44</v>
      </c>
      <c r="J61" s="1" t="s">
        <v>22</v>
      </c>
      <c r="K61" s="4">
        <f t="shared" ca="1" si="0"/>
        <v>6.1</v>
      </c>
      <c r="L61" t="str">
        <f t="shared" si="1"/>
        <v>Medium</v>
      </c>
      <c r="M61" t="str">
        <f t="shared" si="2"/>
        <v>High</v>
      </c>
      <c r="N61" t="str">
        <f t="shared" si="3"/>
        <v>No PIP</v>
      </c>
      <c r="O61" t="str">
        <f t="shared" ca="1" si="4"/>
        <v>Eligible</v>
      </c>
    </row>
    <row r="62" spans="1:15" x14ac:dyDescent="0.25">
      <c r="A62" t="s">
        <v>35</v>
      </c>
      <c r="B62">
        <v>35</v>
      </c>
      <c r="C62">
        <v>55000</v>
      </c>
      <c r="D62" t="s">
        <v>14</v>
      </c>
      <c r="E62" t="s">
        <v>10</v>
      </c>
      <c r="F62" t="s">
        <v>28</v>
      </c>
      <c r="G62" s="1">
        <v>43881</v>
      </c>
      <c r="H62" s="1" t="s">
        <v>21</v>
      </c>
      <c r="I62" s="1" t="s">
        <v>44</v>
      </c>
      <c r="J62" s="1" t="s">
        <v>44</v>
      </c>
      <c r="K62" s="4">
        <f t="shared" ca="1" si="0"/>
        <v>6.1</v>
      </c>
      <c r="L62" t="str">
        <f t="shared" si="1"/>
        <v>Low</v>
      </c>
      <c r="M62" t="str">
        <f t="shared" si="2"/>
        <v>Medium</v>
      </c>
      <c r="N62" t="str">
        <f t="shared" si="3"/>
        <v>No PIP</v>
      </c>
      <c r="O62" t="str">
        <f t="shared" ca="1" si="4"/>
        <v>Not Eligible</v>
      </c>
    </row>
    <row r="63" spans="1:15" x14ac:dyDescent="0.25">
      <c r="A63" t="s">
        <v>38</v>
      </c>
      <c r="B63">
        <v>30</v>
      </c>
      <c r="C63">
        <v>70000</v>
      </c>
      <c r="D63" t="s">
        <v>9</v>
      </c>
      <c r="E63" t="s">
        <v>20</v>
      </c>
      <c r="F63" t="s">
        <v>16</v>
      </c>
      <c r="G63" s="1">
        <v>43881</v>
      </c>
      <c r="H63" s="1" t="s">
        <v>12</v>
      </c>
      <c r="I63" s="1" t="s">
        <v>18</v>
      </c>
      <c r="J63" s="1" t="s">
        <v>44</v>
      </c>
      <c r="K63" s="4">
        <f t="shared" ca="1" si="0"/>
        <v>6.1</v>
      </c>
      <c r="L63" t="str">
        <f t="shared" si="1"/>
        <v>High</v>
      </c>
      <c r="M63" t="str">
        <f t="shared" si="2"/>
        <v>Low</v>
      </c>
      <c r="N63" t="str">
        <f t="shared" si="3"/>
        <v>PIP</v>
      </c>
      <c r="O63" t="str">
        <f t="shared" ca="1" si="4"/>
        <v>Not Eligible</v>
      </c>
    </row>
    <row r="64" spans="1:15" x14ac:dyDescent="0.25">
      <c r="A64" t="s">
        <v>40</v>
      </c>
      <c r="B64">
        <v>25</v>
      </c>
      <c r="C64">
        <v>60000</v>
      </c>
      <c r="D64" t="s">
        <v>14</v>
      </c>
      <c r="E64" t="s">
        <v>27</v>
      </c>
      <c r="F64" t="s">
        <v>31</v>
      </c>
      <c r="G64" s="1">
        <v>43881</v>
      </c>
      <c r="H64" s="1" t="s">
        <v>24</v>
      </c>
      <c r="I64" s="1" t="s">
        <v>44</v>
      </c>
      <c r="J64" s="1" t="s">
        <v>19</v>
      </c>
      <c r="K64" s="4">
        <f t="shared" ca="1" si="0"/>
        <v>6.1</v>
      </c>
      <c r="L64" t="str">
        <f t="shared" si="1"/>
        <v>Medium</v>
      </c>
      <c r="M64" t="str">
        <f t="shared" si="2"/>
        <v>High</v>
      </c>
      <c r="N64" t="str">
        <f t="shared" si="3"/>
        <v>No PIP</v>
      </c>
      <c r="O64" t="str">
        <f t="shared" ca="1" si="4"/>
        <v>Eligible</v>
      </c>
    </row>
    <row r="65" spans="1:15" x14ac:dyDescent="0.25">
      <c r="A65" t="s">
        <v>42</v>
      </c>
      <c r="B65">
        <v>30</v>
      </c>
      <c r="C65">
        <v>60216</v>
      </c>
      <c r="D65" t="s">
        <v>26</v>
      </c>
      <c r="E65" t="s">
        <v>10</v>
      </c>
      <c r="F65" t="s">
        <v>16</v>
      </c>
      <c r="G65" s="1">
        <v>43881</v>
      </c>
      <c r="H65" s="1" t="s">
        <v>21</v>
      </c>
      <c r="I65" s="1" t="s">
        <v>25</v>
      </c>
      <c r="J65" s="1" t="s">
        <v>32</v>
      </c>
      <c r="K65" s="4">
        <f t="shared" ca="1" si="0"/>
        <v>6.1</v>
      </c>
      <c r="L65" t="str">
        <f t="shared" si="1"/>
        <v>Medium</v>
      </c>
      <c r="M65" t="str">
        <f t="shared" si="2"/>
        <v>Medium</v>
      </c>
      <c r="N65" t="str">
        <f t="shared" si="3"/>
        <v>No PIP</v>
      </c>
      <c r="O65" t="str">
        <f t="shared" ca="1" si="4"/>
        <v>Not Eligible</v>
      </c>
    </row>
    <row r="66" spans="1:15" x14ac:dyDescent="0.25">
      <c r="A66" t="s">
        <v>37</v>
      </c>
      <c r="B66">
        <v>50</v>
      </c>
      <c r="C66">
        <v>60216</v>
      </c>
      <c r="D66" t="s">
        <v>9</v>
      </c>
      <c r="E66" t="s">
        <v>23</v>
      </c>
      <c r="F66" t="s">
        <v>28</v>
      </c>
      <c r="G66" s="1">
        <v>43881</v>
      </c>
      <c r="H66" s="1" t="s">
        <v>24</v>
      </c>
      <c r="I66" s="1" t="s">
        <v>44</v>
      </c>
      <c r="J66" s="1" t="s">
        <v>19</v>
      </c>
      <c r="K66" s="4">
        <f t="shared" ca="1" si="0"/>
        <v>6.1</v>
      </c>
      <c r="L66" t="str">
        <f t="shared" si="1"/>
        <v>Medium</v>
      </c>
      <c r="M66" t="str">
        <f t="shared" si="2"/>
        <v>High</v>
      </c>
      <c r="N66" t="str">
        <f t="shared" si="3"/>
        <v>No PIP</v>
      </c>
      <c r="O66" t="str">
        <f t="shared" ca="1" si="4"/>
        <v>Eligible</v>
      </c>
    </row>
    <row r="67" spans="1:15" x14ac:dyDescent="0.25">
      <c r="A67" t="s">
        <v>41</v>
      </c>
      <c r="B67">
        <v>35</v>
      </c>
      <c r="C67">
        <v>60216</v>
      </c>
      <c r="D67" t="s">
        <v>9</v>
      </c>
      <c r="E67" t="s">
        <v>15</v>
      </c>
      <c r="F67" t="s">
        <v>30</v>
      </c>
      <c r="G67" s="1">
        <v>43881</v>
      </c>
      <c r="H67" s="1" t="s">
        <v>29</v>
      </c>
      <c r="I67" s="1" t="s">
        <v>25</v>
      </c>
      <c r="J67" s="1" t="s">
        <v>22</v>
      </c>
      <c r="K67" s="4">
        <f t="shared" ref="K67:K130" ca="1" si="5">ROUND((TODAY()-G67)/365,1)</f>
        <v>6.1</v>
      </c>
      <c r="L67" t="str">
        <f t="shared" ref="L67:L130" si="6">IF(C67&lt;60000,"Low", IF(C67&lt;65000,"Medium","High"))</f>
        <v>Medium</v>
      </c>
      <c r="M67" t="str">
        <f t="shared" ref="M67:M130" si="7">IF(H67="A","High",IF(OR(H67="B",H67="C"),"Medium","Low"))</f>
        <v>Medium</v>
      </c>
      <c r="N67" t="str">
        <f t="shared" ref="N67:N130" si="8">IF(M67="Low","PIP","No PIP")</f>
        <v>No PIP</v>
      </c>
      <c r="O67" t="str">
        <f t="shared" ref="O67:O130" ca="1" si="9">IF(AND(M67="High",K67&gt;3),"Eligible","Not Eligible")</f>
        <v>Not Eligible</v>
      </c>
    </row>
    <row r="68" spans="1:15" x14ac:dyDescent="0.25">
      <c r="A68" t="s">
        <v>33</v>
      </c>
      <c r="B68">
        <v>35</v>
      </c>
      <c r="C68">
        <v>55000</v>
      </c>
      <c r="D68" t="s">
        <v>14</v>
      </c>
      <c r="E68" t="s">
        <v>23</v>
      </c>
      <c r="F68" t="s">
        <v>16</v>
      </c>
      <c r="G68" s="1">
        <v>43881</v>
      </c>
      <c r="H68" s="1" t="s">
        <v>21</v>
      </c>
      <c r="I68" s="1" t="s">
        <v>18</v>
      </c>
      <c r="J68" s="1" t="s">
        <v>32</v>
      </c>
      <c r="K68" s="4">
        <f t="shared" ca="1" si="5"/>
        <v>6.1</v>
      </c>
      <c r="L68" t="str">
        <f t="shared" si="6"/>
        <v>Low</v>
      </c>
      <c r="M68" t="str">
        <f t="shared" si="7"/>
        <v>Medium</v>
      </c>
      <c r="N68" t="str">
        <f t="shared" si="8"/>
        <v>No PIP</v>
      </c>
      <c r="O68" t="str">
        <f t="shared" ca="1" si="9"/>
        <v>Not Eligible</v>
      </c>
    </row>
    <row r="69" spans="1:15" x14ac:dyDescent="0.25">
      <c r="A69" t="s">
        <v>37</v>
      </c>
      <c r="B69">
        <v>30</v>
      </c>
      <c r="C69">
        <v>65000</v>
      </c>
      <c r="D69" t="s">
        <v>14</v>
      </c>
      <c r="E69" t="s">
        <v>27</v>
      </c>
      <c r="F69" t="s">
        <v>31</v>
      </c>
      <c r="G69" s="1">
        <v>43881</v>
      </c>
      <c r="H69" s="1" t="s">
        <v>29</v>
      </c>
      <c r="I69" s="1" t="s">
        <v>44</v>
      </c>
      <c r="J69" s="1" t="s">
        <v>22</v>
      </c>
      <c r="K69" s="4">
        <f t="shared" ca="1" si="5"/>
        <v>6.1</v>
      </c>
      <c r="L69" t="str">
        <f t="shared" si="6"/>
        <v>High</v>
      </c>
      <c r="M69" t="str">
        <f t="shared" si="7"/>
        <v>Medium</v>
      </c>
      <c r="N69" t="str">
        <f t="shared" si="8"/>
        <v>No PIP</v>
      </c>
      <c r="O69" t="str">
        <f t="shared" ca="1" si="9"/>
        <v>Not Eligible</v>
      </c>
    </row>
    <row r="70" spans="1:15" x14ac:dyDescent="0.25">
      <c r="A70" t="s">
        <v>39</v>
      </c>
      <c r="B70">
        <v>25</v>
      </c>
      <c r="C70">
        <v>55000</v>
      </c>
      <c r="D70" t="s">
        <v>9</v>
      </c>
      <c r="E70" t="s">
        <v>23</v>
      </c>
      <c r="F70" t="s">
        <v>16</v>
      </c>
      <c r="G70" s="1">
        <v>43881</v>
      </c>
      <c r="H70" s="1" t="s">
        <v>12</v>
      </c>
      <c r="I70" s="1" t="s">
        <v>44</v>
      </c>
      <c r="J70" s="1" t="s">
        <v>32</v>
      </c>
      <c r="K70" s="4">
        <f t="shared" ca="1" si="5"/>
        <v>6.1</v>
      </c>
      <c r="L70" t="str">
        <f t="shared" si="6"/>
        <v>Low</v>
      </c>
      <c r="M70" t="str">
        <f t="shared" si="7"/>
        <v>Low</v>
      </c>
      <c r="N70" t="str">
        <f t="shared" si="8"/>
        <v>PIP</v>
      </c>
      <c r="O70" t="str">
        <f t="shared" ca="1" si="9"/>
        <v>Not Eligible</v>
      </c>
    </row>
    <row r="71" spans="1:15" x14ac:dyDescent="0.25">
      <c r="A71" t="s">
        <v>34</v>
      </c>
      <c r="B71">
        <v>40</v>
      </c>
      <c r="C71">
        <v>70000</v>
      </c>
      <c r="D71" t="s">
        <v>26</v>
      </c>
      <c r="E71" t="s">
        <v>27</v>
      </c>
      <c r="F71" t="s">
        <v>31</v>
      </c>
      <c r="G71" s="1">
        <v>43881</v>
      </c>
      <c r="H71" s="1" t="s">
        <v>24</v>
      </c>
      <c r="I71" s="1" t="s">
        <v>44</v>
      </c>
      <c r="J71" s="1" t="s">
        <v>22</v>
      </c>
      <c r="K71" s="4">
        <f t="shared" ca="1" si="5"/>
        <v>6.1</v>
      </c>
      <c r="L71" t="str">
        <f t="shared" si="6"/>
        <v>High</v>
      </c>
      <c r="M71" t="str">
        <f t="shared" si="7"/>
        <v>High</v>
      </c>
      <c r="N71" t="str">
        <f t="shared" si="8"/>
        <v>No PIP</v>
      </c>
      <c r="O71" t="str">
        <f t="shared" ca="1" si="9"/>
        <v>Eligible</v>
      </c>
    </row>
    <row r="72" spans="1:15" x14ac:dyDescent="0.25">
      <c r="A72" t="s">
        <v>39</v>
      </c>
      <c r="B72">
        <v>25</v>
      </c>
      <c r="C72">
        <v>60000</v>
      </c>
      <c r="D72" t="s">
        <v>26</v>
      </c>
      <c r="E72" t="s">
        <v>15</v>
      </c>
      <c r="F72" t="s">
        <v>30</v>
      </c>
      <c r="G72" s="1">
        <v>43881</v>
      </c>
      <c r="H72" s="1" t="s">
        <v>17</v>
      </c>
      <c r="I72" s="1" t="s">
        <v>25</v>
      </c>
      <c r="J72" s="1" t="s">
        <v>22</v>
      </c>
      <c r="K72" s="4">
        <f t="shared" ca="1" si="5"/>
        <v>6.1</v>
      </c>
      <c r="L72" t="str">
        <f t="shared" si="6"/>
        <v>Medium</v>
      </c>
      <c r="M72" t="str">
        <f t="shared" si="7"/>
        <v>Low</v>
      </c>
      <c r="N72" t="str">
        <f t="shared" si="8"/>
        <v>PIP</v>
      </c>
      <c r="O72" t="str">
        <f t="shared" ca="1" si="9"/>
        <v>Not Eligible</v>
      </c>
    </row>
    <row r="73" spans="1:15" x14ac:dyDescent="0.25">
      <c r="A73" t="s">
        <v>34</v>
      </c>
      <c r="B73">
        <v>40</v>
      </c>
      <c r="C73">
        <v>60000</v>
      </c>
      <c r="D73" t="s">
        <v>26</v>
      </c>
      <c r="E73" t="s">
        <v>15</v>
      </c>
      <c r="F73" t="s">
        <v>30</v>
      </c>
      <c r="G73" s="1">
        <v>43881</v>
      </c>
      <c r="H73" s="1" t="s">
        <v>29</v>
      </c>
      <c r="I73" s="1" t="s">
        <v>13</v>
      </c>
      <c r="J73" s="1" t="s">
        <v>44</v>
      </c>
      <c r="K73" s="4">
        <f t="shared" ca="1" si="5"/>
        <v>6.1</v>
      </c>
      <c r="L73" t="str">
        <f t="shared" si="6"/>
        <v>Medium</v>
      </c>
      <c r="M73" t="str">
        <f t="shared" si="7"/>
        <v>Medium</v>
      </c>
      <c r="N73" t="str">
        <f t="shared" si="8"/>
        <v>No PIP</v>
      </c>
      <c r="O73" t="str">
        <f t="shared" ca="1" si="9"/>
        <v>Not Eligible</v>
      </c>
    </row>
    <row r="74" spans="1:15" x14ac:dyDescent="0.25">
      <c r="A74" t="s">
        <v>34</v>
      </c>
      <c r="B74">
        <v>30</v>
      </c>
      <c r="C74">
        <v>70000</v>
      </c>
      <c r="D74" t="s">
        <v>26</v>
      </c>
      <c r="E74" t="s">
        <v>10</v>
      </c>
      <c r="F74" t="s">
        <v>31</v>
      </c>
      <c r="G74" s="1">
        <v>43881</v>
      </c>
      <c r="H74" s="1" t="s">
        <v>29</v>
      </c>
      <c r="I74" s="1" t="s">
        <v>44</v>
      </c>
      <c r="J74" s="1" t="s">
        <v>32</v>
      </c>
      <c r="K74" s="4">
        <f t="shared" ca="1" si="5"/>
        <v>6.1</v>
      </c>
      <c r="L74" t="str">
        <f t="shared" si="6"/>
        <v>High</v>
      </c>
      <c r="M74" t="str">
        <f t="shared" si="7"/>
        <v>Medium</v>
      </c>
      <c r="N74" t="str">
        <f t="shared" si="8"/>
        <v>No PIP</v>
      </c>
      <c r="O74" t="str">
        <f t="shared" ca="1" si="9"/>
        <v>Not Eligible</v>
      </c>
    </row>
    <row r="75" spans="1:15" x14ac:dyDescent="0.25">
      <c r="A75" t="s">
        <v>40</v>
      </c>
      <c r="B75">
        <v>35</v>
      </c>
      <c r="C75">
        <v>70000</v>
      </c>
      <c r="D75" t="s">
        <v>14</v>
      </c>
      <c r="E75" t="s">
        <v>15</v>
      </c>
      <c r="F75" t="s">
        <v>11</v>
      </c>
      <c r="G75" s="1">
        <v>43881</v>
      </c>
      <c r="H75" s="1" t="s">
        <v>12</v>
      </c>
      <c r="I75" s="1" t="s">
        <v>13</v>
      </c>
      <c r="J75" s="1" t="s">
        <v>22</v>
      </c>
      <c r="K75" s="4">
        <f t="shared" ca="1" si="5"/>
        <v>6.1</v>
      </c>
      <c r="L75" t="str">
        <f t="shared" si="6"/>
        <v>High</v>
      </c>
      <c r="M75" t="str">
        <f t="shared" si="7"/>
        <v>Low</v>
      </c>
      <c r="N75" t="str">
        <f t="shared" si="8"/>
        <v>PIP</v>
      </c>
      <c r="O75" t="str">
        <f t="shared" ca="1" si="9"/>
        <v>Not Eligible</v>
      </c>
    </row>
    <row r="76" spans="1:15" x14ac:dyDescent="0.25">
      <c r="A76" t="s">
        <v>41</v>
      </c>
      <c r="B76">
        <v>35</v>
      </c>
      <c r="C76">
        <v>55000</v>
      </c>
      <c r="D76" t="s">
        <v>14</v>
      </c>
      <c r="E76" t="s">
        <v>27</v>
      </c>
      <c r="F76" t="s">
        <v>30</v>
      </c>
      <c r="G76" s="1">
        <v>43881</v>
      </c>
      <c r="H76" s="1" t="s">
        <v>21</v>
      </c>
      <c r="I76" s="1" t="s">
        <v>18</v>
      </c>
      <c r="J76" s="1" t="s">
        <v>44</v>
      </c>
      <c r="K76" s="4">
        <f t="shared" ca="1" si="5"/>
        <v>6.1</v>
      </c>
      <c r="L76" t="str">
        <f t="shared" si="6"/>
        <v>Low</v>
      </c>
      <c r="M76" t="str">
        <f t="shared" si="7"/>
        <v>Medium</v>
      </c>
      <c r="N76" t="str">
        <f t="shared" si="8"/>
        <v>No PIP</v>
      </c>
      <c r="O76" t="str">
        <f t="shared" ca="1" si="9"/>
        <v>Not Eligible</v>
      </c>
    </row>
    <row r="77" spans="1:15" x14ac:dyDescent="0.25">
      <c r="A77" t="s">
        <v>36</v>
      </c>
      <c r="B77">
        <v>35</v>
      </c>
      <c r="C77">
        <v>55000</v>
      </c>
      <c r="D77" t="s">
        <v>14</v>
      </c>
      <c r="E77" t="s">
        <v>15</v>
      </c>
      <c r="F77" t="s">
        <v>28</v>
      </c>
      <c r="G77" s="1">
        <v>43881</v>
      </c>
      <c r="H77" s="1" t="s">
        <v>24</v>
      </c>
      <c r="I77" s="1" t="s">
        <v>25</v>
      </c>
      <c r="J77" s="1" t="s">
        <v>19</v>
      </c>
      <c r="K77" s="4">
        <f t="shared" ca="1" si="5"/>
        <v>6.1</v>
      </c>
      <c r="L77" t="str">
        <f t="shared" si="6"/>
        <v>Low</v>
      </c>
      <c r="M77" t="str">
        <f t="shared" si="7"/>
        <v>High</v>
      </c>
      <c r="N77" t="str">
        <f t="shared" si="8"/>
        <v>No PIP</v>
      </c>
      <c r="O77" t="str">
        <f t="shared" ca="1" si="9"/>
        <v>Eligible</v>
      </c>
    </row>
    <row r="78" spans="1:15" x14ac:dyDescent="0.25">
      <c r="A78" t="s">
        <v>37</v>
      </c>
      <c r="B78">
        <v>50</v>
      </c>
      <c r="C78">
        <v>65000</v>
      </c>
      <c r="D78" t="s">
        <v>9</v>
      </c>
      <c r="E78" t="s">
        <v>15</v>
      </c>
      <c r="F78" t="s">
        <v>28</v>
      </c>
      <c r="G78" s="1">
        <v>43881</v>
      </c>
      <c r="H78" s="1" t="s">
        <v>21</v>
      </c>
      <c r="I78" s="1" t="s">
        <v>25</v>
      </c>
      <c r="J78" s="1" t="s">
        <v>44</v>
      </c>
      <c r="K78" s="4">
        <f t="shared" ca="1" si="5"/>
        <v>6.1</v>
      </c>
      <c r="L78" t="str">
        <f t="shared" si="6"/>
        <v>High</v>
      </c>
      <c r="M78" t="str">
        <f t="shared" si="7"/>
        <v>Medium</v>
      </c>
      <c r="N78" t="str">
        <f t="shared" si="8"/>
        <v>No PIP</v>
      </c>
      <c r="O78" t="str">
        <f t="shared" ca="1" si="9"/>
        <v>Not Eligible</v>
      </c>
    </row>
    <row r="79" spans="1:15" x14ac:dyDescent="0.25">
      <c r="A79" t="s">
        <v>39</v>
      </c>
      <c r="B79">
        <v>40</v>
      </c>
      <c r="C79">
        <v>60216</v>
      </c>
      <c r="D79" t="s">
        <v>14</v>
      </c>
      <c r="E79" t="s">
        <v>20</v>
      </c>
      <c r="F79" t="s">
        <v>16</v>
      </c>
      <c r="G79" s="1">
        <v>43881</v>
      </c>
      <c r="H79" s="1" t="s">
        <v>12</v>
      </c>
      <c r="I79" s="1" t="s">
        <v>44</v>
      </c>
      <c r="J79" s="1" t="s">
        <v>22</v>
      </c>
      <c r="K79" s="4">
        <f t="shared" ca="1" si="5"/>
        <v>6.1</v>
      </c>
      <c r="L79" t="str">
        <f t="shared" si="6"/>
        <v>Medium</v>
      </c>
      <c r="M79" t="str">
        <f t="shared" si="7"/>
        <v>Low</v>
      </c>
      <c r="N79" t="str">
        <f t="shared" si="8"/>
        <v>PIP</v>
      </c>
      <c r="O79" t="str">
        <f t="shared" ca="1" si="9"/>
        <v>Not Eligible</v>
      </c>
    </row>
    <row r="80" spans="1:15" x14ac:dyDescent="0.25">
      <c r="A80" t="s">
        <v>41</v>
      </c>
      <c r="B80">
        <v>25</v>
      </c>
      <c r="C80">
        <v>60000</v>
      </c>
      <c r="D80" t="s">
        <v>26</v>
      </c>
      <c r="E80" t="s">
        <v>20</v>
      </c>
      <c r="F80" t="s">
        <v>11</v>
      </c>
      <c r="G80" s="1">
        <v>43881</v>
      </c>
      <c r="H80" s="1" t="s">
        <v>17</v>
      </c>
      <c r="I80" s="1" t="s">
        <v>13</v>
      </c>
      <c r="J80" s="1" t="s">
        <v>44</v>
      </c>
      <c r="K80" s="4">
        <f t="shared" ca="1" si="5"/>
        <v>6.1</v>
      </c>
      <c r="L80" t="str">
        <f t="shared" si="6"/>
        <v>Medium</v>
      </c>
      <c r="M80" t="str">
        <f t="shared" si="7"/>
        <v>Low</v>
      </c>
      <c r="N80" t="str">
        <f t="shared" si="8"/>
        <v>PIP</v>
      </c>
      <c r="O80" t="str">
        <f t="shared" ca="1" si="9"/>
        <v>Not Eligible</v>
      </c>
    </row>
    <row r="81" spans="1:15" x14ac:dyDescent="0.25">
      <c r="A81" t="s">
        <v>38</v>
      </c>
      <c r="B81">
        <v>50</v>
      </c>
      <c r="C81">
        <v>60216</v>
      </c>
      <c r="D81" t="s">
        <v>14</v>
      </c>
      <c r="E81" t="s">
        <v>23</v>
      </c>
      <c r="F81" t="s">
        <v>11</v>
      </c>
      <c r="G81" s="1">
        <v>43881</v>
      </c>
      <c r="H81" s="1" t="s">
        <v>29</v>
      </c>
      <c r="I81" s="1" t="s">
        <v>44</v>
      </c>
      <c r="J81" s="1" t="s">
        <v>44</v>
      </c>
      <c r="K81" s="4">
        <f t="shared" ca="1" si="5"/>
        <v>6.1</v>
      </c>
      <c r="L81" t="str">
        <f t="shared" si="6"/>
        <v>Medium</v>
      </c>
      <c r="M81" t="str">
        <f t="shared" si="7"/>
        <v>Medium</v>
      </c>
      <c r="N81" t="str">
        <f t="shared" si="8"/>
        <v>No PIP</v>
      </c>
      <c r="O81" t="str">
        <f t="shared" ca="1" si="9"/>
        <v>Not Eligible</v>
      </c>
    </row>
    <row r="82" spans="1:15" x14ac:dyDescent="0.25">
      <c r="A82" t="s">
        <v>34</v>
      </c>
      <c r="B82">
        <v>30</v>
      </c>
      <c r="C82">
        <v>50000</v>
      </c>
      <c r="D82" t="s">
        <v>14</v>
      </c>
      <c r="E82" t="s">
        <v>23</v>
      </c>
      <c r="F82" t="s">
        <v>30</v>
      </c>
      <c r="G82" s="1">
        <v>43881</v>
      </c>
      <c r="H82" s="1" t="s">
        <v>21</v>
      </c>
      <c r="I82" s="1" t="s">
        <v>18</v>
      </c>
      <c r="J82" s="1" t="s">
        <v>44</v>
      </c>
      <c r="K82" s="4">
        <f t="shared" ca="1" si="5"/>
        <v>6.1</v>
      </c>
      <c r="L82" t="str">
        <f t="shared" si="6"/>
        <v>Low</v>
      </c>
      <c r="M82" t="str">
        <f t="shared" si="7"/>
        <v>Medium</v>
      </c>
      <c r="N82" t="str">
        <f t="shared" si="8"/>
        <v>No PIP</v>
      </c>
      <c r="O82" t="str">
        <f t="shared" ca="1" si="9"/>
        <v>Not Eligible</v>
      </c>
    </row>
    <row r="83" spans="1:15" x14ac:dyDescent="0.25">
      <c r="A83" t="s">
        <v>36</v>
      </c>
      <c r="B83">
        <v>40</v>
      </c>
      <c r="C83">
        <v>65000</v>
      </c>
      <c r="D83" t="s">
        <v>9</v>
      </c>
      <c r="E83" t="s">
        <v>15</v>
      </c>
      <c r="F83" t="s">
        <v>16</v>
      </c>
      <c r="G83" s="1">
        <v>43881</v>
      </c>
      <c r="H83" s="1" t="s">
        <v>21</v>
      </c>
      <c r="I83" s="1" t="s">
        <v>13</v>
      </c>
      <c r="J83" s="1" t="s">
        <v>44</v>
      </c>
      <c r="K83" s="4">
        <f t="shared" ca="1" si="5"/>
        <v>6.1</v>
      </c>
      <c r="L83" t="str">
        <f t="shared" si="6"/>
        <v>High</v>
      </c>
      <c r="M83" t="str">
        <f t="shared" si="7"/>
        <v>Medium</v>
      </c>
      <c r="N83" t="str">
        <f t="shared" si="8"/>
        <v>No PIP</v>
      </c>
      <c r="O83" t="str">
        <f t="shared" ca="1" si="9"/>
        <v>Not Eligible</v>
      </c>
    </row>
    <row r="84" spans="1:15" x14ac:dyDescent="0.25">
      <c r="A84" t="s">
        <v>33</v>
      </c>
      <c r="B84">
        <v>25</v>
      </c>
      <c r="C84">
        <v>60216</v>
      </c>
      <c r="D84" t="s">
        <v>9</v>
      </c>
      <c r="E84" t="s">
        <v>27</v>
      </c>
      <c r="F84" t="s">
        <v>11</v>
      </c>
      <c r="G84" s="1">
        <v>43881</v>
      </c>
      <c r="H84" s="1" t="s">
        <v>29</v>
      </c>
      <c r="I84" s="1" t="s">
        <v>44</v>
      </c>
      <c r="J84" s="1" t="s">
        <v>32</v>
      </c>
      <c r="K84" s="4">
        <f t="shared" ca="1" si="5"/>
        <v>6.1</v>
      </c>
      <c r="L84" t="str">
        <f t="shared" si="6"/>
        <v>Medium</v>
      </c>
      <c r="M84" t="str">
        <f t="shared" si="7"/>
        <v>Medium</v>
      </c>
      <c r="N84" t="str">
        <f t="shared" si="8"/>
        <v>No PIP</v>
      </c>
      <c r="O84" t="str">
        <f t="shared" ca="1" si="9"/>
        <v>Not Eligible</v>
      </c>
    </row>
    <row r="85" spans="1:15" x14ac:dyDescent="0.25">
      <c r="A85" t="s">
        <v>34</v>
      </c>
      <c r="B85">
        <v>25</v>
      </c>
      <c r="C85">
        <v>60216</v>
      </c>
      <c r="D85" t="s">
        <v>26</v>
      </c>
      <c r="E85" t="s">
        <v>15</v>
      </c>
      <c r="F85" t="s">
        <v>31</v>
      </c>
      <c r="G85" s="1">
        <v>43881</v>
      </c>
      <c r="H85" s="1" t="s">
        <v>12</v>
      </c>
      <c r="I85" s="1" t="s">
        <v>13</v>
      </c>
      <c r="J85" s="1" t="s">
        <v>22</v>
      </c>
      <c r="K85" s="4">
        <f t="shared" ca="1" si="5"/>
        <v>6.1</v>
      </c>
      <c r="L85" t="str">
        <f t="shared" si="6"/>
        <v>Medium</v>
      </c>
      <c r="M85" t="str">
        <f t="shared" si="7"/>
        <v>Low</v>
      </c>
      <c r="N85" t="str">
        <f t="shared" si="8"/>
        <v>PIP</v>
      </c>
      <c r="O85" t="str">
        <f t="shared" ca="1" si="9"/>
        <v>Not Eligible</v>
      </c>
    </row>
    <row r="86" spans="1:15" x14ac:dyDescent="0.25">
      <c r="A86" t="s">
        <v>33</v>
      </c>
      <c r="B86">
        <v>25</v>
      </c>
      <c r="C86">
        <v>50000</v>
      </c>
      <c r="D86" t="s">
        <v>14</v>
      </c>
      <c r="E86" t="s">
        <v>27</v>
      </c>
      <c r="F86" t="s">
        <v>31</v>
      </c>
      <c r="G86" s="1">
        <v>43881</v>
      </c>
      <c r="H86" s="1" t="s">
        <v>24</v>
      </c>
      <c r="I86" s="1" t="s">
        <v>13</v>
      </c>
      <c r="J86" s="1" t="s">
        <v>19</v>
      </c>
      <c r="K86" s="4">
        <f t="shared" ca="1" si="5"/>
        <v>6.1</v>
      </c>
      <c r="L86" t="str">
        <f t="shared" si="6"/>
        <v>Low</v>
      </c>
      <c r="M86" t="str">
        <f t="shared" si="7"/>
        <v>High</v>
      </c>
      <c r="N86" t="str">
        <f t="shared" si="8"/>
        <v>No PIP</v>
      </c>
      <c r="O86" t="str">
        <f t="shared" ca="1" si="9"/>
        <v>Eligible</v>
      </c>
    </row>
    <row r="87" spans="1:15" x14ac:dyDescent="0.25">
      <c r="A87" t="s">
        <v>40</v>
      </c>
      <c r="B87">
        <v>30</v>
      </c>
      <c r="C87">
        <v>65000</v>
      </c>
      <c r="D87" t="s">
        <v>26</v>
      </c>
      <c r="E87" t="s">
        <v>23</v>
      </c>
      <c r="F87" t="s">
        <v>31</v>
      </c>
      <c r="G87" s="1">
        <v>43881</v>
      </c>
      <c r="H87" s="1" t="s">
        <v>12</v>
      </c>
      <c r="I87" s="1" t="s">
        <v>13</v>
      </c>
      <c r="J87" s="1" t="s">
        <v>22</v>
      </c>
      <c r="K87" s="4">
        <f t="shared" ca="1" si="5"/>
        <v>6.1</v>
      </c>
      <c r="L87" t="str">
        <f t="shared" si="6"/>
        <v>High</v>
      </c>
      <c r="M87" t="str">
        <f t="shared" si="7"/>
        <v>Low</v>
      </c>
      <c r="N87" t="str">
        <f t="shared" si="8"/>
        <v>PIP</v>
      </c>
      <c r="O87" t="str">
        <f t="shared" ca="1" si="9"/>
        <v>Not Eligible</v>
      </c>
    </row>
    <row r="88" spans="1:15" x14ac:dyDescent="0.25">
      <c r="A88" t="s">
        <v>37</v>
      </c>
      <c r="B88">
        <v>40</v>
      </c>
      <c r="C88">
        <v>65000</v>
      </c>
      <c r="D88" t="s">
        <v>26</v>
      </c>
      <c r="E88" t="s">
        <v>27</v>
      </c>
      <c r="F88" t="s">
        <v>28</v>
      </c>
      <c r="G88" s="1">
        <v>43881</v>
      </c>
      <c r="H88" s="1" t="s">
        <v>21</v>
      </c>
      <c r="I88" s="1" t="s">
        <v>13</v>
      </c>
      <c r="J88" s="1" t="s">
        <v>32</v>
      </c>
      <c r="K88" s="4">
        <f t="shared" ca="1" si="5"/>
        <v>6.1</v>
      </c>
      <c r="L88" t="str">
        <f t="shared" si="6"/>
        <v>High</v>
      </c>
      <c r="M88" t="str">
        <f t="shared" si="7"/>
        <v>Medium</v>
      </c>
      <c r="N88" t="str">
        <f t="shared" si="8"/>
        <v>No PIP</v>
      </c>
      <c r="O88" t="str">
        <f t="shared" ca="1" si="9"/>
        <v>Not Eligible</v>
      </c>
    </row>
    <row r="89" spans="1:15" x14ac:dyDescent="0.25">
      <c r="A89" t="s">
        <v>38</v>
      </c>
      <c r="B89">
        <v>35</v>
      </c>
      <c r="C89">
        <v>65000</v>
      </c>
      <c r="D89" t="s">
        <v>9</v>
      </c>
      <c r="E89" t="s">
        <v>15</v>
      </c>
      <c r="F89" t="s">
        <v>16</v>
      </c>
      <c r="G89" s="1">
        <v>43881</v>
      </c>
      <c r="H89" s="1" t="s">
        <v>17</v>
      </c>
      <c r="I89" s="1" t="s">
        <v>25</v>
      </c>
      <c r="J89" s="1" t="s">
        <v>44</v>
      </c>
      <c r="K89" s="4">
        <f t="shared" ca="1" si="5"/>
        <v>6.1</v>
      </c>
      <c r="L89" t="str">
        <f t="shared" si="6"/>
        <v>High</v>
      </c>
      <c r="M89" t="str">
        <f t="shared" si="7"/>
        <v>Low</v>
      </c>
      <c r="N89" t="str">
        <f t="shared" si="8"/>
        <v>PIP</v>
      </c>
      <c r="O89" t="str">
        <f t="shared" ca="1" si="9"/>
        <v>Not Eligible</v>
      </c>
    </row>
    <row r="90" spans="1:15" x14ac:dyDescent="0.25">
      <c r="A90" t="s">
        <v>37</v>
      </c>
      <c r="B90">
        <v>35</v>
      </c>
      <c r="C90">
        <v>60216</v>
      </c>
      <c r="D90" t="s">
        <v>14</v>
      </c>
      <c r="E90" t="s">
        <v>10</v>
      </c>
      <c r="F90" t="s">
        <v>16</v>
      </c>
      <c r="G90" s="1">
        <v>43881</v>
      </c>
      <c r="H90" s="1" t="s">
        <v>21</v>
      </c>
      <c r="I90" s="1" t="s">
        <v>44</v>
      </c>
      <c r="J90" s="1" t="s">
        <v>19</v>
      </c>
      <c r="K90" s="4">
        <f t="shared" ca="1" si="5"/>
        <v>6.1</v>
      </c>
      <c r="L90" t="str">
        <f t="shared" si="6"/>
        <v>Medium</v>
      </c>
      <c r="M90" t="str">
        <f t="shared" si="7"/>
        <v>Medium</v>
      </c>
      <c r="N90" t="str">
        <f t="shared" si="8"/>
        <v>No PIP</v>
      </c>
      <c r="O90" t="str">
        <f t="shared" ca="1" si="9"/>
        <v>Not Eligible</v>
      </c>
    </row>
    <row r="91" spans="1:15" x14ac:dyDescent="0.25">
      <c r="A91" t="s">
        <v>41</v>
      </c>
      <c r="B91">
        <v>50</v>
      </c>
      <c r="C91">
        <v>55000</v>
      </c>
      <c r="D91" t="s">
        <v>9</v>
      </c>
      <c r="E91" t="s">
        <v>10</v>
      </c>
      <c r="F91" t="s">
        <v>16</v>
      </c>
      <c r="G91" s="1">
        <v>43881</v>
      </c>
      <c r="H91" s="1" t="s">
        <v>29</v>
      </c>
      <c r="I91" s="1" t="s">
        <v>44</v>
      </c>
      <c r="J91" s="1" t="s">
        <v>19</v>
      </c>
      <c r="K91" s="4">
        <f t="shared" ca="1" si="5"/>
        <v>6.1</v>
      </c>
      <c r="L91" t="str">
        <f t="shared" si="6"/>
        <v>Low</v>
      </c>
      <c r="M91" t="str">
        <f t="shared" si="7"/>
        <v>Medium</v>
      </c>
      <c r="N91" t="str">
        <f t="shared" si="8"/>
        <v>No PIP</v>
      </c>
      <c r="O91" t="str">
        <f t="shared" ca="1" si="9"/>
        <v>Not Eligible</v>
      </c>
    </row>
    <row r="92" spans="1:15" x14ac:dyDescent="0.25">
      <c r="A92" t="s">
        <v>34</v>
      </c>
      <c r="B92">
        <v>50</v>
      </c>
      <c r="C92">
        <v>60216</v>
      </c>
      <c r="D92" t="s">
        <v>9</v>
      </c>
      <c r="E92" t="s">
        <v>27</v>
      </c>
      <c r="F92" t="s">
        <v>30</v>
      </c>
      <c r="G92" s="1">
        <v>43881</v>
      </c>
      <c r="H92" s="1" t="s">
        <v>21</v>
      </c>
      <c r="I92" s="1" t="s">
        <v>44</v>
      </c>
      <c r="J92" s="1" t="s">
        <v>32</v>
      </c>
      <c r="K92" s="4">
        <f t="shared" ca="1" si="5"/>
        <v>6.1</v>
      </c>
      <c r="L92" t="str">
        <f t="shared" si="6"/>
        <v>Medium</v>
      </c>
      <c r="M92" t="str">
        <f t="shared" si="7"/>
        <v>Medium</v>
      </c>
      <c r="N92" t="str">
        <f t="shared" si="8"/>
        <v>No PIP</v>
      </c>
      <c r="O92" t="str">
        <f t="shared" ca="1" si="9"/>
        <v>Not Eligible</v>
      </c>
    </row>
    <row r="93" spans="1:15" x14ac:dyDescent="0.25">
      <c r="A93" t="s">
        <v>35</v>
      </c>
      <c r="B93">
        <v>40</v>
      </c>
      <c r="C93">
        <v>70000</v>
      </c>
      <c r="D93" t="s">
        <v>26</v>
      </c>
      <c r="E93" t="s">
        <v>20</v>
      </c>
      <c r="F93" t="s">
        <v>11</v>
      </c>
      <c r="G93" s="1">
        <v>43881</v>
      </c>
      <c r="H93" s="1" t="s">
        <v>17</v>
      </c>
      <c r="I93" s="1" t="s">
        <v>44</v>
      </c>
      <c r="J93" s="1" t="s">
        <v>32</v>
      </c>
      <c r="K93" s="4">
        <f t="shared" ca="1" si="5"/>
        <v>6.1</v>
      </c>
      <c r="L93" t="str">
        <f t="shared" si="6"/>
        <v>High</v>
      </c>
      <c r="M93" t="str">
        <f t="shared" si="7"/>
        <v>Low</v>
      </c>
      <c r="N93" t="str">
        <f t="shared" si="8"/>
        <v>PIP</v>
      </c>
      <c r="O93" t="str">
        <f t="shared" ca="1" si="9"/>
        <v>Not Eligible</v>
      </c>
    </row>
    <row r="94" spans="1:15" x14ac:dyDescent="0.25">
      <c r="A94" t="s">
        <v>33</v>
      </c>
      <c r="B94">
        <v>30</v>
      </c>
      <c r="C94">
        <v>60000</v>
      </c>
      <c r="D94" t="s">
        <v>9</v>
      </c>
      <c r="E94" t="s">
        <v>10</v>
      </c>
      <c r="F94" t="s">
        <v>31</v>
      </c>
      <c r="G94" s="1">
        <v>43881</v>
      </c>
      <c r="H94" s="1" t="s">
        <v>12</v>
      </c>
      <c r="I94" s="1" t="s">
        <v>44</v>
      </c>
      <c r="J94" s="1" t="s">
        <v>19</v>
      </c>
      <c r="K94" s="4">
        <f t="shared" ca="1" si="5"/>
        <v>6.1</v>
      </c>
      <c r="L94" t="str">
        <f t="shared" si="6"/>
        <v>Medium</v>
      </c>
      <c r="M94" t="str">
        <f t="shared" si="7"/>
        <v>Low</v>
      </c>
      <c r="N94" t="str">
        <f t="shared" si="8"/>
        <v>PIP</v>
      </c>
      <c r="O94" t="str">
        <f t="shared" ca="1" si="9"/>
        <v>Not Eligible</v>
      </c>
    </row>
    <row r="95" spans="1:15" x14ac:dyDescent="0.25">
      <c r="A95" t="s">
        <v>40</v>
      </c>
      <c r="B95">
        <v>35</v>
      </c>
      <c r="C95">
        <v>70000</v>
      </c>
      <c r="D95" t="s">
        <v>26</v>
      </c>
      <c r="E95" t="s">
        <v>20</v>
      </c>
      <c r="F95" t="s">
        <v>28</v>
      </c>
      <c r="G95" s="1">
        <v>43881</v>
      </c>
      <c r="H95" s="1" t="s">
        <v>24</v>
      </c>
      <c r="I95" s="1" t="s">
        <v>44</v>
      </c>
      <c r="J95" s="1" t="s">
        <v>32</v>
      </c>
      <c r="K95" s="4">
        <f t="shared" ca="1" si="5"/>
        <v>6.1</v>
      </c>
      <c r="L95" t="str">
        <f t="shared" si="6"/>
        <v>High</v>
      </c>
      <c r="M95" t="str">
        <f t="shared" si="7"/>
        <v>High</v>
      </c>
      <c r="N95" t="str">
        <f t="shared" si="8"/>
        <v>No PIP</v>
      </c>
      <c r="O95" t="str">
        <f t="shared" ca="1" si="9"/>
        <v>Eligible</v>
      </c>
    </row>
    <row r="96" spans="1:15" x14ac:dyDescent="0.25">
      <c r="A96" t="s">
        <v>38</v>
      </c>
      <c r="B96">
        <v>35</v>
      </c>
      <c r="C96">
        <v>60216</v>
      </c>
      <c r="D96" t="s">
        <v>14</v>
      </c>
      <c r="E96" t="s">
        <v>20</v>
      </c>
      <c r="F96" t="s">
        <v>28</v>
      </c>
      <c r="G96" s="1">
        <v>43881</v>
      </c>
      <c r="H96" s="1" t="s">
        <v>21</v>
      </c>
      <c r="I96" s="1" t="s">
        <v>13</v>
      </c>
      <c r="J96" s="1" t="s">
        <v>44</v>
      </c>
      <c r="K96" s="4">
        <f t="shared" ca="1" si="5"/>
        <v>6.1</v>
      </c>
      <c r="L96" t="str">
        <f t="shared" si="6"/>
        <v>Medium</v>
      </c>
      <c r="M96" t="str">
        <f t="shared" si="7"/>
        <v>Medium</v>
      </c>
      <c r="N96" t="str">
        <f t="shared" si="8"/>
        <v>No PIP</v>
      </c>
      <c r="O96" t="str">
        <f t="shared" ca="1" si="9"/>
        <v>Not Eligible</v>
      </c>
    </row>
    <row r="97" spans="1:15" x14ac:dyDescent="0.25">
      <c r="A97" t="s">
        <v>41</v>
      </c>
      <c r="B97">
        <v>35</v>
      </c>
      <c r="C97">
        <v>70000</v>
      </c>
      <c r="D97" t="s">
        <v>26</v>
      </c>
      <c r="E97" t="s">
        <v>10</v>
      </c>
      <c r="F97" t="s">
        <v>28</v>
      </c>
      <c r="G97" s="1">
        <v>43881</v>
      </c>
      <c r="H97" s="1" t="s">
        <v>12</v>
      </c>
      <c r="I97" s="1" t="s">
        <v>44</v>
      </c>
      <c r="J97" s="1" t="s">
        <v>44</v>
      </c>
      <c r="K97" s="4">
        <f t="shared" ca="1" si="5"/>
        <v>6.1</v>
      </c>
      <c r="L97" t="str">
        <f t="shared" si="6"/>
        <v>High</v>
      </c>
      <c r="M97" t="str">
        <f t="shared" si="7"/>
        <v>Low</v>
      </c>
      <c r="N97" t="str">
        <f t="shared" si="8"/>
        <v>PIP</v>
      </c>
      <c r="O97" t="str">
        <f t="shared" ca="1" si="9"/>
        <v>Not Eligible</v>
      </c>
    </row>
    <row r="98" spans="1:15" x14ac:dyDescent="0.25">
      <c r="A98" t="s">
        <v>34</v>
      </c>
      <c r="B98">
        <v>40</v>
      </c>
      <c r="C98">
        <v>65000</v>
      </c>
      <c r="D98" t="s">
        <v>26</v>
      </c>
      <c r="E98" t="s">
        <v>15</v>
      </c>
      <c r="F98" t="s">
        <v>30</v>
      </c>
      <c r="G98" s="1">
        <v>43881</v>
      </c>
      <c r="H98" s="1" t="s">
        <v>24</v>
      </c>
      <c r="I98" s="1" t="s">
        <v>44</v>
      </c>
      <c r="J98" s="1" t="s">
        <v>44</v>
      </c>
      <c r="K98" s="4">
        <f t="shared" ca="1" si="5"/>
        <v>6.1</v>
      </c>
      <c r="L98" t="str">
        <f t="shared" si="6"/>
        <v>High</v>
      </c>
      <c r="M98" t="str">
        <f t="shared" si="7"/>
        <v>High</v>
      </c>
      <c r="N98" t="str">
        <f t="shared" si="8"/>
        <v>No PIP</v>
      </c>
      <c r="O98" t="str">
        <f t="shared" ca="1" si="9"/>
        <v>Eligible</v>
      </c>
    </row>
    <row r="99" spans="1:15" x14ac:dyDescent="0.25">
      <c r="A99" t="s">
        <v>37</v>
      </c>
      <c r="B99">
        <v>35</v>
      </c>
      <c r="C99">
        <v>50000</v>
      </c>
      <c r="D99" t="s">
        <v>26</v>
      </c>
      <c r="E99" t="s">
        <v>10</v>
      </c>
      <c r="F99" t="s">
        <v>16</v>
      </c>
      <c r="G99" s="1">
        <v>43881</v>
      </c>
      <c r="H99" s="1" t="s">
        <v>24</v>
      </c>
      <c r="I99" s="1" t="s">
        <v>25</v>
      </c>
      <c r="J99" s="1" t="s">
        <v>22</v>
      </c>
      <c r="K99" s="4">
        <f t="shared" ca="1" si="5"/>
        <v>6.1</v>
      </c>
      <c r="L99" t="str">
        <f t="shared" si="6"/>
        <v>Low</v>
      </c>
      <c r="M99" t="str">
        <f t="shared" si="7"/>
        <v>High</v>
      </c>
      <c r="N99" t="str">
        <f t="shared" si="8"/>
        <v>No PIP</v>
      </c>
      <c r="O99" t="str">
        <f t="shared" ca="1" si="9"/>
        <v>Eligible</v>
      </c>
    </row>
    <row r="100" spans="1:15" x14ac:dyDescent="0.25">
      <c r="A100" t="s">
        <v>40</v>
      </c>
      <c r="B100">
        <v>35</v>
      </c>
      <c r="C100">
        <v>50000</v>
      </c>
      <c r="D100" t="s">
        <v>14</v>
      </c>
      <c r="E100" t="s">
        <v>27</v>
      </c>
      <c r="F100" t="s">
        <v>31</v>
      </c>
      <c r="G100" s="1">
        <v>43881</v>
      </c>
      <c r="H100" s="1" t="s">
        <v>12</v>
      </c>
      <c r="I100" s="1" t="s">
        <v>44</v>
      </c>
      <c r="J100" s="1" t="s">
        <v>44</v>
      </c>
      <c r="K100" s="4">
        <f t="shared" ca="1" si="5"/>
        <v>6.1</v>
      </c>
      <c r="L100" t="str">
        <f t="shared" si="6"/>
        <v>Low</v>
      </c>
      <c r="M100" t="str">
        <f t="shared" si="7"/>
        <v>Low</v>
      </c>
      <c r="N100" t="str">
        <f t="shared" si="8"/>
        <v>PIP</v>
      </c>
      <c r="O100" t="str">
        <f t="shared" ca="1" si="9"/>
        <v>Not Eligible</v>
      </c>
    </row>
    <row r="101" spans="1:15" x14ac:dyDescent="0.25">
      <c r="A101" t="s">
        <v>35</v>
      </c>
      <c r="B101">
        <v>30</v>
      </c>
      <c r="C101">
        <v>65000</v>
      </c>
      <c r="D101" t="s">
        <v>9</v>
      </c>
      <c r="E101" t="s">
        <v>27</v>
      </c>
      <c r="F101" t="s">
        <v>30</v>
      </c>
      <c r="G101" s="1">
        <v>43881</v>
      </c>
      <c r="H101" s="1" t="s">
        <v>21</v>
      </c>
      <c r="I101" s="1" t="s">
        <v>18</v>
      </c>
      <c r="J101" s="1" t="s">
        <v>32</v>
      </c>
      <c r="K101" s="4">
        <f t="shared" ca="1" si="5"/>
        <v>6.1</v>
      </c>
      <c r="L101" t="str">
        <f t="shared" si="6"/>
        <v>High</v>
      </c>
      <c r="M101" t="str">
        <f t="shared" si="7"/>
        <v>Medium</v>
      </c>
      <c r="N101" t="str">
        <f t="shared" si="8"/>
        <v>No PIP</v>
      </c>
      <c r="O101" t="str">
        <f t="shared" ca="1" si="9"/>
        <v>Not Eligible</v>
      </c>
    </row>
    <row r="102" spans="1:15" x14ac:dyDescent="0.25">
      <c r="A102" t="s">
        <v>36</v>
      </c>
      <c r="B102">
        <v>40</v>
      </c>
      <c r="C102">
        <v>65000</v>
      </c>
      <c r="D102" t="s">
        <v>9</v>
      </c>
      <c r="E102" t="s">
        <v>23</v>
      </c>
      <c r="F102" t="s">
        <v>30</v>
      </c>
      <c r="G102" s="1">
        <v>43881</v>
      </c>
      <c r="H102" s="1" t="s">
        <v>17</v>
      </c>
      <c r="I102" s="1" t="s">
        <v>44</v>
      </c>
      <c r="J102" s="1" t="s">
        <v>32</v>
      </c>
      <c r="K102" s="4">
        <f t="shared" ca="1" si="5"/>
        <v>6.1</v>
      </c>
      <c r="L102" t="str">
        <f t="shared" si="6"/>
        <v>High</v>
      </c>
      <c r="M102" t="str">
        <f t="shared" si="7"/>
        <v>Low</v>
      </c>
      <c r="N102" t="str">
        <f t="shared" si="8"/>
        <v>PIP</v>
      </c>
      <c r="O102" t="str">
        <f t="shared" ca="1" si="9"/>
        <v>Not Eligible</v>
      </c>
    </row>
    <row r="103" spans="1:15" x14ac:dyDescent="0.25">
      <c r="A103" t="s">
        <v>35</v>
      </c>
      <c r="B103">
        <v>25</v>
      </c>
      <c r="C103">
        <v>65000</v>
      </c>
      <c r="D103" t="s">
        <v>14</v>
      </c>
      <c r="E103" t="s">
        <v>23</v>
      </c>
      <c r="F103" t="s">
        <v>16</v>
      </c>
      <c r="G103" s="1">
        <v>43881</v>
      </c>
      <c r="H103" s="1" t="s">
        <v>29</v>
      </c>
      <c r="I103" s="1" t="s">
        <v>44</v>
      </c>
      <c r="J103" s="1" t="s">
        <v>44</v>
      </c>
      <c r="K103" s="4">
        <f t="shared" ca="1" si="5"/>
        <v>6.1</v>
      </c>
      <c r="L103" t="str">
        <f t="shared" si="6"/>
        <v>High</v>
      </c>
      <c r="M103" t="str">
        <f t="shared" si="7"/>
        <v>Medium</v>
      </c>
      <c r="N103" t="str">
        <f t="shared" si="8"/>
        <v>No PIP</v>
      </c>
      <c r="O103" t="str">
        <f t="shared" ca="1" si="9"/>
        <v>Not Eligible</v>
      </c>
    </row>
    <row r="104" spans="1:15" x14ac:dyDescent="0.25">
      <c r="A104" t="s">
        <v>42</v>
      </c>
      <c r="B104">
        <v>35</v>
      </c>
      <c r="C104">
        <v>50000</v>
      </c>
      <c r="D104" t="s">
        <v>9</v>
      </c>
      <c r="E104" t="s">
        <v>20</v>
      </c>
      <c r="F104" t="s">
        <v>30</v>
      </c>
      <c r="G104" s="1">
        <v>43881</v>
      </c>
      <c r="H104" s="1" t="s">
        <v>17</v>
      </c>
      <c r="I104" s="1" t="s">
        <v>25</v>
      </c>
      <c r="J104" s="1" t="s">
        <v>19</v>
      </c>
      <c r="K104" s="4">
        <f t="shared" ca="1" si="5"/>
        <v>6.1</v>
      </c>
      <c r="L104" t="str">
        <f t="shared" si="6"/>
        <v>Low</v>
      </c>
      <c r="M104" t="str">
        <f t="shared" si="7"/>
        <v>Low</v>
      </c>
      <c r="N104" t="str">
        <f t="shared" si="8"/>
        <v>PIP</v>
      </c>
      <c r="O104" t="str">
        <f t="shared" ca="1" si="9"/>
        <v>Not Eligible</v>
      </c>
    </row>
    <row r="105" spans="1:15" x14ac:dyDescent="0.25">
      <c r="A105" t="s">
        <v>42</v>
      </c>
      <c r="B105">
        <v>40</v>
      </c>
      <c r="C105">
        <v>65000</v>
      </c>
      <c r="D105" t="s">
        <v>9</v>
      </c>
      <c r="E105" t="s">
        <v>27</v>
      </c>
      <c r="F105" t="s">
        <v>30</v>
      </c>
      <c r="G105" s="1">
        <v>43881</v>
      </c>
      <c r="H105" s="1" t="s">
        <v>29</v>
      </c>
      <c r="I105" s="1" t="s">
        <v>44</v>
      </c>
      <c r="J105" s="1" t="s">
        <v>19</v>
      </c>
      <c r="K105" s="4">
        <f t="shared" ca="1" si="5"/>
        <v>6.1</v>
      </c>
      <c r="L105" t="str">
        <f t="shared" si="6"/>
        <v>High</v>
      </c>
      <c r="M105" t="str">
        <f t="shared" si="7"/>
        <v>Medium</v>
      </c>
      <c r="N105" t="str">
        <f t="shared" si="8"/>
        <v>No PIP</v>
      </c>
      <c r="O105" t="str">
        <f t="shared" ca="1" si="9"/>
        <v>Not Eligible</v>
      </c>
    </row>
    <row r="106" spans="1:15" x14ac:dyDescent="0.25">
      <c r="A106" t="s">
        <v>33</v>
      </c>
      <c r="B106">
        <v>30</v>
      </c>
      <c r="C106">
        <v>65000</v>
      </c>
      <c r="D106" t="s">
        <v>26</v>
      </c>
      <c r="E106" t="s">
        <v>20</v>
      </c>
      <c r="F106" t="s">
        <v>30</v>
      </c>
      <c r="G106" s="1">
        <v>43881</v>
      </c>
      <c r="H106" s="1" t="s">
        <v>21</v>
      </c>
      <c r="I106" s="1" t="s">
        <v>18</v>
      </c>
      <c r="J106" s="1" t="s">
        <v>44</v>
      </c>
      <c r="K106" s="4">
        <f t="shared" ca="1" si="5"/>
        <v>6.1</v>
      </c>
      <c r="L106" t="str">
        <f t="shared" si="6"/>
        <v>High</v>
      </c>
      <c r="M106" t="str">
        <f t="shared" si="7"/>
        <v>Medium</v>
      </c>
      <c r="N106" t="str">
        <f t="shared" si="8"/>
        <v>No PIP</v>
      </c>
      <c r="O106" t="str">
        <f t="shared" ca="1" si="9"/>
        <v>Not Eligible</v>
      </c>
    </row>
    <row r="107" spans="1:15" x14ac:dyDescent="0.25">
      <c r="A107" t="s">
        <v>36</v>
      </c>
      <c r="B107">
        <v>35</v>
      </c>
      <c r="C107">
        <v>60216</v>
      </c>
      <c r="D107" t="s">
        <v>26</v>
      </c>
      <c r="E107" t="s">
        <v>27</v>
      </c>
      <c r="F107" t="s">
        <v>28</v>
      </c>
      <c r="G107" s="1">
        <v>43881</v>
      </c>
      <c r="H107" s="1" t="s">
        <v>29</v>
      </c>
      <c r="I107" s="1" t="s">
        <v>44</v>
      </c>
      <c r="J107" s="1" t="s">
        <v>44</v>
      </c>
      <c r="K107" s="4">
        <f t="shared" ca="1" si="5"/>
        <v>6.1</v>
      </c>
      <c r="L107" t="str">
        <f t="shared" si="6"/>
        <v>Medium</v>
      </c>
      <c r="M107" t="str">
        <f t="shared" si="7"/>
        <v>Medium</v>
      </c>
      <c r="N107" t="str">
        <f t="shared" si="8"/>
        <v>No PIP</v>
      </c>
      <c r="O107" t="str">
        <f t="shared" ca="1" si="9"/>
        <v>Not Eligible</v>
      </c>
    </row>
    <row r="108" spans="1:15" x14ac:dyDescent="0.25">
      <c r="A108" t="s">
        <v>36</v>
      </c>
      <c r="B108">
        <v>40</v>
      </c>
      <c r="C108">
        <v>50000</v>
      </c>
      <c r="D108" t="s">
        <v>14</v>
      </c>
      <c r="E108" t="s">
        <v>20</v>
      </c>
      <c r="F108" t="s">
        <v>28</v>
      </c>
      <c r="G108" s="1">
        <v>43881</v>
      </c>
      <c r="H108" s="1" t="s">
        <v>29</v>
      </c>
      <c r="I108" s="1" t="s">
        <v>44</v>
      </c>
      <c r="J108" s="1" t="s">
        <v>32</v>
      </c>
      <c r="K108" s="4">
        <f t="shared" ca="1" si="5"/>
        <v>6.1</v>
      </c>
      <c r="L108" t="str">
        <f t="shared" si="6"/>
        <v>Low</v>
      </c>
      <c r="M108" t="str">
        <f t="shared" si="7"/>
        <v>Medium</v>
      </c>
      <c r="N108" t="str">
        <f t="shared" si="8"/>
        <v>No PIP</v>
      </c>
      <c r="O108" t="str">
        <f t="shared" ca="1" si="9"/>
        <v>Not Eligible</v>
      </c>
    </row>
    <row r="109" spans="1:15" x14ac:dyDescent="0.25">
      <c r="A109" t="s">
        <v>38</v>
      </c>
      <c r="B109">
        <v>35</v>
      </c>
      <c r="C109">
        <v>50000</v>
      </c>
      <c r="D109" t="s">
        <v>26</v>
      </c>
      <c r="E109" t="s">
        <v>23</v>
      </c>
      <c r="F109" t="s">
        <v>30</v>
      </c>
      <c r="G109" s="1">
        <v>43881</v>
      </c>
      <c r="H109" s="1" t="s">
        <v>21</v>
      </c>
      <c r="I109" s="1" t="s">
        <v>13</v>
      </c>
      <c r="J109" s="1" t="s">
        <v>22</v>
      </c>
      <c r="K109" s="4">
        <f t="shared" ca="1" si="5"/>
        <v>6.1</v>
      </c>
      <c r="L109" t="str">
        <f t="shared" si="6"/>
        <v>Low</v>
      </c>
      <c r="M109" t="str">
        <f t="shared" si="7"/>
        <v>Medium</v>
      </c>
      <c r="N109" t="str">
        <f t="shared" si="8"/>
        <v>No PIP</v>
      </c>
      <c r="O109" t="str">
        <f t="shared" ca="1" si="9"/>
        <v>Not Eligible</v>
      </c>
    </row>
    <row r="110" spans="1:15" x14ac:dyDescent="0.25">
      <c r="A110" t="s">
        <v>36</v>
      </c>
      <c r="B110">
        <v>30</v>
      </c>
      <c r="C110">
        <v>50000</v>
      </c>
      <c r="D110" t="s">
        <v>26</v>
      </c>
      <c r="E110" t="s">
        <v>27</v>
      </c>
      <c r="F110" t="s">
        <v>28</v>
      </c>
      <c r="G110" s="1">
        <v>43881</v>
      </c>
      <c r="H110" s="1" t="s">
        <v>29</v>
      </c>
      <c r="I110" s="1" t="s">
        <v>44</v>
      </c>
      <c r="J110" s="1" t="s">
        <v>44</v>
      </c>
      <c r="K110" s="4">
        <f t="shared" ca="1" si="5"/>
        <v>6.1</v>
      </c>
      <c r="L110" t="str">
        <f t="shared" si="6"/>
        <v>Low</v>
      </c>
      <c r="M110" t="str">
        <f t="shared" si="7"/>
        <v>Medium</v>
      </c>
      <c r="N110" t="str">
        <f t="shared" si="8"/>
        <v>No PIP</v>
      </c>
      <c r="O110" t="str">
        <f t="shared" ca="1" si="9"/>
        <v>Not Eligible</v>
      </c>
    </row>
    <row r="111" spans="1:15" x14ac:dyDescent="0.25">
      <c r="A111" t="s">
        <v>37</v>
      </c>
      <c r="B111">
        <v>30</v>
      </c>
      <c r="C111">
        <v>50000</v>
      </c>
      <c r="D111" t="s">
        <v>26</v>
      </c>
      <c r="E111" t="s">
        <v>27</v>
      </c>
      <c r="F111" t="s">
        <v>31</v>
      </c>
      <c r="G111" s="1">
        <v>43881</v>
      </c>
      <c r="H111" s="1" t="s">
        <v>24</v>
      </c>
      <c r="I111" s="1" t="s">
        <v>18</v>
      </c>
      <c r="J111" s="1" t="s">
        <v>22</v>
      </c>
      <c r="K111" s="4">
        <f t="shared" ca="1" si="5"/>
        <v>6.1</v>
      </c>
      <c r="L111" t="str">
        <f t="shared" si="6"/>
        <v>Low</v>
      </c>
      <c r="M111" t="str">
        <f t="shared" si="7"/>
        <v>High</v>
      </c>
      <c r="N111" t="str">
        <f t="shared" si="8"/>
        <v>No PIP</v>
      </c>
      <c r="O111" t="str">
        <f t="shared" ca="1" si="9"/>
        <v>Eligible</v>
      </c>
    </row>
    <row r="112" spans="1:15" x14ac:dyDescent="0.25">
      <c r="A112" t="s">
        <v>36</v>
      </c>
      <c r="B112">
        <v>40</v>
      </c>
      <c r="C112">
        <v>60000</v>
      </c>
      <c r="D112" t="s">
        <v>9</v>
      </c>
      <c r="E112" t="s">
        <v>10</v>
      </c>
      <c r="F112" t="s">
        <v>30</v>
      </c>
      <c r="G112" s="1">
        <v>43881</v>
      </c>
      <c r="H112" s="1" t="s">
        <v>29</v>
      </c>
      <c r="I112" s="1" t="s">
        <v>25</v>
      </c>
      <c r="J112" s="1" t="s">
        <v>19</v>
      </c>
      <c r="K112" s="4">
        <f t="shared" ca="1" si="5"/>
        <v>6.1</v>
      </c>
      <c r="L112" t="str">
        <f t="shared" si="6"/>
        <v>Medium</v>
      </c>
      <c r="M112" t="str">
        <f t="shared" si="7"/>
        <v>Medium</v>
      </c>
      <c r="N112" t="str">
        <f t="shared" si="8"/>
        <v>No PIP</v>
      </c>
      <c r="O112" t="str">
        <f t="shared" ca="1" si="9"/>
        <v>Not Eligible</v>
      </c>
    </row>
    <row r="113" spans="1:15" x14ac:dyDescent="0.25">
      <c r="A113" t="s">
        <v>42</v>
      </c>
      <c r="B113">
        <v>35</v>
      </c>
      <c r="C113">
        <v>70000</v>
      </c>
      <c r="D113" t="s">
        <v>26</v>
      </c>
      <c r="E113" t="s">
        <v>27</v>
      </c>
      <c r="F113" t="s">
        <v>11</v>
      </c>
      <c r="G113" s="1">
        <v>43881</v>
      </c>
      <c r="H113" s="1" t="s">
        <v>12</v>
      </c>
      <c r="I113" s="1" t="s">
        <v>13</v>
      </c>
      <c r="J113" s="1" t="s">
        <v>44</v>
      </c>
      <c r="K113" s="4">
        <f t="shared" ca="1" si="5"/>
        <v>6.1</v>
      </c>
      <c r="L113" t="str">
        <f t="shared" si="6"/>
        <v>High</v>
      </c>
      <c r="M113" t="str">
        <f t="shared" si="7"/>
        <v>Low</v>
      </c>
      <c r="N113" t="str">
        <f t="shared" si="8"/>
        <v>PIP</v>
      </c>
      <c r="O113" t="str">
        <f t="shared" ca="1" si="9"/>
        <v>Not Eligible</v>
      </c>
    </row>
    <row r="114" spans="1:15" x14ac:dyDescent="0.25">
      <c r="A114" t="s">
        <v>42</v>
      </c>
      <c r="B114">
        <v>25</v>
      </c>
      <c r="C114">
        <v>65000</v>
      </c>
      <c r="D114" t="s">
        <v>14</v>
      </c>
      <c r="E114" t="s">
        <v>23</v>
      </c>
      <c r="F114" t="s">
        <v>16</v>
      </c>
      <c r="G114" s="1">
        <v>43881</v>
      </c>
      <c r="H114" s="1" t="s">
        <v>24</v>
      </c>
      <c r="I114" s="1" t="s">
        <v>13</v>
      </c>
      <c r="J114" s="1" t="s">
        <v>44</v>
      </c>
      <c r="K114" s="4">
        <f t="shared" ca="1" si="5"/>
        <v>6.1</v>
      </c>
      <c r="L114" t="str">
        <f t="shared" si="6"/>
        <v>High</v>
      </c>
      <c r="M114" t="str">
        <f t="shared" si="7"/>
        <v>High</v>
      </c>
      <c r="N114" t="str">
        <f t="shared" si="8"/>
        <v>No PIP</v>
      </c>
      <c r="O114" t="str">
        <f t="shared" ca="1" si="9"/>
        <v>Eligible</v>
      </c>
    </row>
    <row r="115" spans="1:15" x14ac:dyDescent="0.25">
      <c r="A115" t="s">
        <v>40</v>
      </c>
      <c r="B115">
        <v>40</v>
      </c>
      <c r="C115">
        <v>60000</v>
      </c>
      <c r="D115" t="s">
        <v>9</v>
      </c>
      <c r="E115" t="s">
        <v>10</v>
      </c>
      <c r="F115" t="s">
        <v>28</v>
      </c>
      <c r="G115" s="1">
        <v>43881</v>
      </c>
      <c r="H115" s="1" t="s">
        <v>24</v>
      </c>
      <c r="I115" s="1" t="s">
        <v>44</v>
      </c>
      <c r="J115" s="1" t="s">
        <v>44</v>
      </c>
      <c r="K115" s="4">
        <f t="shared" ca="1" si="5"/>
        <v>6.1</v>
      </c>
      <c r="L115" t="str">
        <f t="shared" si="6"/>
        <v>Medium</v>
      </c>
      <c r="M115" t="str">
        <f t="shared" si="7"/>
        <v>High</v>
      </c>
      <c r="N115" t="str">
        <f t="shared" si="8"/>
        <v>No PIP</v>
      </c>
      <c r="O115" t="str">
        <f t="shared" ca="1" si="9"/>
        <v>Eligible</v>
      </c>
    </row>
    <row r="116" spans="1:15" x14ac:dyDescent="0.25">
      <c r="A116" t="s">
        <v>36</v>
      </c>
      <c r="B116">
        <v>35</v>
      </c>
      <c r="C116">
        <v>70000</v>
      </c>
      <c r="D116" t="s">
        <v>26</v>
      </c>
      <c r="E116" t="s">
        <v>20</v>
      </c>
      <c r="F116" t="s">
        <v>28</v>
      </c>
      <c r="G116" s="1">
        <v>43881</v>
      </c>
      <c r="H116" s="1" t="s">
        <v>17</v>
      </c>
      <c r="I116" s="1" t="s">
        <v>25</v>
      </c>
      <c r="J116" s="1" t="s">
        <v>44</v>
      </c>
      <c r="K116" s="4">
        <f t="shared" ca="1" si="5"/>
        <v>6.1</v>
      </c>
      <c r="L116" t="str">
        <f t="shared" si="6"/>
        <v>High</v>
      </c>
      <c r="M116" t="str">
        <f t="shared" si="7"/>
        <v>Low</v>
      </c>
      <c r="N116" t="str">
        <f t="shared" si="8"/>
        <v>PIP</v>
      </c>
      <c r="O116" t="str">
        <f t="shared" ca="1" si="9"/>
        <v>Not Eligible</v>
      </c>
    </row>
    <row r="117" spans="1:15" x14ac:dyDescent="0.25">
      <c r="A117" t="s">
        <v>35</v>
      </c>
      <c r="B117">
        <v>35</v>
      </c>
      <c r="C117">
        <v>55000</v>
      </c>
      <c r="D117" t="s">
        <v>14</v>
      </c>
      <c r="E117" t="s">
        <v>15</v>
      </c>
      <c r="F117" t="s">
        <v>31</v>
      </c>
      <c r="G117" s="1">
        <v>43881</v>
      </c>
      <c r="H117" s="1" t="s">
        <v>24</v>
      </c>
      <c r="I117" s="1" t="s">
        <v>18</v>
      </c>
      <c r="J117" s="1" t="s">
        <v>19</v>
      </c>
      <c r="K117" s="4">
        <f t="shared" ca="1" si="5"/>
        <v>6.1</v>
      </c>
      <c r="L117" t="str">
        <f t="shared" si="6"/>
        <v>Low</v>
      </c>
      <c r="M117" t="str">
        <f t="shared" si="7"/>
        <v>High</v>
      </c>
      <c r="N117" t="str">
        <f t="shared" si="8"/>
        <v>No PIP</v>
      </c>
      <c r="O117" t="str">
        <f t="shared" ca="1" si="9"/>
        <v>Eligible</v>
      </c>
    </row>
    <row r="118" spans="1:15" x14ac:dyDescent="0.25">
      <c r="A118" t="s">
        <v>33</v>
      </c>
      <c r="B118">
        <v>30</v>
      </c>
      <c r="C118">
        <v>50000</v>
      </c>
      <c r="D118" t="s">
        <v>26</v>
      </c>
      <c r="E118" t="s">
        <v>27</v>
      </c>
      <c r="F118" t="s">
        <v>11</v>
      </c>
      <c r="G118" s="1">
        <v>43881</v>
      </c>
      <c r="H118" s="1" t="s">
        <v>17</v>
      </c>
      <c r="I118" s="1" t="s">
        <v>25</v>
      </c>
      <c r="J118" s="1" t="s">
        <v>44</v>
      </c>
      <c r="K118" s="4">
        <f t="shared" ca="1" si="5"/>
        <v>6.1</v>
      </c>
      <c r="L118" t="str">
        <f t="shared" si="6"/>
        <v>Low</v>
      </c>
      <c r="M118" t="str">
        <f t="shared" si="7"/>
        <v>Low</v>
      </c>
      <c r="N118" t="str">
        <f t="shared" si="8"/>
        <v>PIP</v>
      </c>
      <c r="O118" t="str">
        <f t="shared" ca="1" si="9"/>
        <v>Not Eligible</v>
      </c>
    </row>
    <row r="119" spans="1:15" x14ac:dyDescent="0.25">
      <c r="A119" t="s">
        <v>42</v>
      </c>
      <c r="B119">
        <v>30</v>
      </c>
      <c r="C119">
        <v>55000</v>
      </c>
      <c r="D119" t="s">
        <v>14</v>
      </c>
      <c r="E119" t="s">
        <v>15</v>
      </c>
      <c r="F119" t="s">
        <v>28</v>
      </c>
      <c r="G119" s="1">
        <v>43881</v>
      </c>
      <c r="H119" s="1" t="s">
        <v>29</v>
      </c>
      <c r="I119" s="1" t="s">
        <v>44</v>
      </c>
      <c r="J119" s="1" t="s">
        <v>22</v>
      </c>
      <c r="K119" s="4">
        <f t="shared" ca="1" si="5"/>
        <v>6.1</v>
      </c>
      <c r="L119" t="str">
        <f t="shared" si="6"/>
        <v>Low</v>
      </c>
      <c r="M119" t="str">
        <f t="shared" si="7"/>
        <v>Medium</v>
      </c>
      <c r="N119" t="str">
        <f t="shared" si="8"/>
        <v>No PIP</v>
      </c>
      <c r="O119" t="str">
        <f t="shared" ca="1" si="9"/>
        <v>Not Eligible</v>
      </c>
    </row>
    <row r="120" spans="1:15" x14ac:dyDescent="0.25">
      <c r="A120" t="s">
        <v>33</v>
      </c>
      <c r="B120">
        <v>30</v>
      </c>
      <c r="C120">
        <v>65000</v>
      </c>
      <c r="D120" t="s">
        <v>26</v>
      </c>
      <c r="E120" t="s">
        <v>27</v>
      </c>
      <c r="F120" t="s">
        <v>11</v>
      </c>
      <c r="G120" s="1">
        <v>43881</v>
      </c>
      <c r="H120" s="1" t="s">
        <v>29</v>
      </c>
      <c r="I120" s="1" t="s">
        <v>44</v>
      </c>
      <c r="J120" s="1" t="s">
        <v>32</v>
      </c>
      <c r="K120" s="4">
        <f t="shared" ca="1" si="5"/>
        <v>6.1</v>
      </c>
      <c r="L120" t="str">
        <f t="shared" si="6"/>
        <v>High</v>
      </c>
      <c r="M120" t="str">
        <f t="shared" si="7"/>
        <v>Medium</v>
      </c>
      <c r="N120" t="str">
        <f t="shared" si="8"/>
        <v>No PIP</v>
      </c>
      <c r="O120" t="str">
        <f t="shared" ca="1" si="9"/>
        <v>Not Eligible</v>
      </c>
    </row>
    <row r="121" spans="1:15" x14ac:dyDescent="0.25">
      <c r="A121" t="s">
        <v>37</v>
      </c>
      <c r="B121">
        <v>50</v>
      </c>
      <c r="C121">
        <v>60216</v>
      </c>
      <c r="D121" t="s">
        <v>9</v>
      </c>
      <c r="E121" t="s">
        <v>20</v>
      </c>
      <c r="F121" t="s">
        <v>11</v>
      </c>
      <c r="G121" s="1">
        <v>43881</v>
      </c>
      <c r="H121" s="1" t="s">
        <v>24</v>
      </c>
      <c r="I121" s="1" t="s">
        <v>18</v>
      </c>
      <c r="J121" s="1" t="s">
        <v>22</v>
      </c>
      <c r="K121" s="4">
        <f t="shared" ca="1" si="5"/>
        <v>6.1</v>
      </c>
      <c r="L121" t="str">
        <f t="shared" si="6"/>
        <v>Medium</v>
      </c>
      <c r="M121" t="str">
        <f t="shared" si="7"/>
        <v>High</v>
      </c>
      <c r="N121" t="str">
        <f t="shared" si="8"/>
        <v>No PIP</v>
      </c>
      <c r="O121" t="str">
        <f t="shared" ca="1" si="9"/>
        <v>Eligible</v>
      </c>
    </row>
    <row r="122" spans="1:15" x14ac:dyDescent="0.25">
      <c r="A122" t="s">
        <v>37</v>
      </c>
      <c r="B122">
        <v>40</v>
      </c>
      <c r="C122">
        <v>50000</v>
      </c>
      <c r="D122" t="s">
        <v>14</v>
      </c>
      <c r="E122" t="s">
        <v>10</v>
      </c>
      <c r="F122" t="s">
        <v>28</v>
      </c>
      <c r="G122" s="1">
        <v>43881</v>
      </c>
      <c r="H122" s="1" t="s">
        <v>24</v>
      </c>
      <c r="I122" s="1" t="s">
        <v>18</v>
      </c>
      <c r="J122" s="1" t="s">
        <v>19</v>
      </c>
      <c r="K122" s="4">
        <f t="shared" ca="1" si="5"/>
        <v>6.1</v>
      </c>
      <c r="L122" t="str">
        <f t="shared" si="6"/>
        <v>Low</v>
      </c>
      <c r="M122" t="str">
        <f t="shared" si="7"/>
        <v>High</v>
      </c>
      <c r="N122" t="str">
        <f t="shared" si="8"/>
        <v>No PIP</v>
      </c>
      <c r="O122" t="str">
        <f t="shared" ca="1" si="9"/>
        <v>Eligible</v>
      </c>
    </row>
    <row r="123" spans="1:15" x14ac:dyDescent="0.25">
      <c r="A123" t="s">
        <v>34</v>
      </c>
      <c r="B123">
        <v>35</v>
      </c>
      <c r="C123">
        <v>55000</v>
      </c>
      <c r="D123" t="s">
        <v>26</v>
      </c>
      <c r="E123" t="s">
        <v>10</v>
      </c>
      <c r="F123" t="s">
        <v>31</v>
      </c>
      <c r="G123" s="1">
        <v>43881</v>
      </c>
      <c r="H123" s="1" t="s">
        <v>12</v>
      </c>
      <c r="I123" s="1" t="s">
        <v>25</v>
      </c>
      <c r="J123" s="1" t="s">
        <v>32</v>
      </c>
      <c r="K123" s="4">
        <f t="shared" ca="1" si="5"/>
        <v>6.1</v>
      </c>
      <c r="L123" t="str">
        <f t="shared" si="6"/>
        <v>Low</v>
      </c>
      <c r="M123" t="str">
        <f t="shared" si="7"/>
        <v>Low</v>
      </c>
      <c r="N123" t="str">
        <f t="shared" si="8"/>
        <v>PIP</v>
      </c>
      <c r="O123" t="str">
        <f t="shared" ca="1" si="9"/>
        <v>Not Eligible</v>
      </c>
    </row>
    <row r="124" spans="1:15" x14ac:dyDescent="0.25">
      <c r="A124" t="s">
        <v>42</v>
      </c>
      <c r="B124">
        <v>25</v>
      </c>
      <c r="C124">
        <v>65000</v>
      </c>
      <c r="D124" t="s">
        <v>9</v>
      </c>
      <c r="E124" t="s">
        <v>15</v>
      </c>
      <c r="F124" t="s">
        <v>30</v>
      </c>
      <c r="G124" s="1">
        <v>43881</v>
      </c>
      <c r="H124" s="1" t="s">
        <v>17</v>
      </c>
      <c r="I124" s="1" t="s">
        <v>18</v>
      </c>
      <c r="J124" s="1" t="s">
        <v>19</v>
      </c>
      <c r="K124" s="4">
        <f t="shared" ca="1" si="5"/>
        <v>6.1</v>
      </c>
      <c r="L124" t="str">
        <f t="shared" si="6"/>
        <v>High</v>
      </c>
      <c r="M124" t="str">
        <f t="shared" si="7"/>
        <v>Low</v>
      </c>
      <c r="N124" t="str">
        <f t="shared" si="8"/>
        <v>PIP</v>
      </c>
      <c r="O124" t="str">
        <f t="shared" ca="1" si="9"/>
        <v>Not Eligible</v>
      </c>
    </row>
    <row r="125" spans="1:15" x14ac:dyDescent="0.25">
      <c r="A125" t="s">
        <v>41</v>
      </c>
      <c r="B125">
        <v>50</v>
      </c>
      <c r="C125">
        <v>55000</v>
      </c>
      <c r="D125" t="s">
        <v>26</v>
      </c>
      <c r="E125" t="s">
        <v>23</v>
      </c>
      <c r="F125" t="s">
        <v>16</v>
      </c>
      <c r="G125" s="1">
        <v>43881</v>
      </c>
      <c r="H125" s="1" t="s">
        <v>29</v>
      </c>
      <c r="I125" s="1" t="s">
        <v>44</v>
      </c>
      <c r="J125" s="1" t="s">
        <v>22</v>
      </c>
      <c r="K125" s="4">
        <f t="shared" ca="1" si="5"/>
        <v>6.1</v>
      </c>
      <c r="L125" t="str">
        <f t="shared" si="6"/>
        <v>Low</v>
      </c>
      <c r="M125" t="str">
        <f t="shared" si="7"/>
        <v>Medium</v>
      </c>
      <c r="N125" t="str">
        <f t="shared" si="8"/>
        <v>No PIP</v>
      </c>
      <c r="O125" t="str">
        <f t="shared" ca="1" si="9"/>
        <v>Not Eligible</v>
      </c>
    </row>
    <row r="126" spans="1:15" x14ac:dyDescent="0.25">
      <c r="A126" t="s">
        <v>39</v>
      </c>
      <c r="B126">
        <v>30</v>
      </c>
      <c r="C126">
        <v>60000</v>
      </c>
      <c r="D126" t="s">
        <v>26</v>
      </c>
      <c r="E126" t="s">
        <v>10</v>
      </c>
      <c r="F126" t="s">
        <v>28</v>
      </c>
      <c r="G126" s="1">
        <v>43881</v>
      </c>
      <c r="H126" s="1" t="s">
        <v>29</v>
      </c>
      <c r="I126" s="1" t="s">
        <v>18</v>
      </c>
      <c r="J126" s="1" t="s">
        <v>32</v>
      </c>
      <c r="K126" s="4">
        <f t="shared" ca="1" si="5"/>
        <v>6.1</v>
      </c>
      <c r="L126" t="str">
        <f t="shared" si="6"/>
        <v>Medium</v>
      </c>
      <c r="M126" t="str">
        <f t="shared" si="7"/>
        <v>Medium</v>
      </c>
      <c r="N126" t="str">
        <f t="shared" si="8"/>
        <v>No PIP</v>
      </c>
      <c r="O126" t="str">
        <f t="shared" ca="1" si="9"/>
        <v>Not Eligible</v>
      </c>
    </row>
    <row r="127" spans="1:15" x14ac:dyDescent="0.25">
      <c r="A127" t="s">
        <v>36</v>
      </c>
      <c r="B127">
        <v>25</v>
      </c>
      <c r="C127">
        <v>55000</v>
      </c>
      <c r="D127" t="s">
        <v>26</v>
      </c>
      <c r="E127" t="s">
        <v>23</v>
      </c>
      <c r="F127" t="s">
        <v>30</v>
      </c>
      <c r="G127" s="1">
        <v>43881</v>
      </c>
      <c r="H127" s="1" t="s">
        <v>12</v>
      </c>
      <c r="I127" s="1" t="s">
        <v>44</v>
      </c>
      <c r="J127" s="1" t="s">
        <v>19</v>
      </c>
      <c r="K127" s="4">
        <f t="shared" ca="1" si="5"/>
        <v>6.1</v>
      </c>
      <c r="L127" t="str">
        <f t="shared" si="6"/>
        <v>Low</v>
      </c>
      <c r="M127" t="str">
        <f t="shared" si="7"/>
        <v>Low</v>
      </c>
      <c r="N127" t="str">
        <f t="shared" si="8"/>
        <v>PIP</v>
      </c>
      <c r="O127" t="str">
        <f t="shared" ca="1" si="9"/>
        <v>Not Eligible</v>
      </c>
    </row>
    <row r="128" spans="1:15" x14ac:dyDescent="0.25">
      <c r="A128" t="s">
        <v>37</v>
      </c>
      <c r="B128">
        <v>35</v>
      </c>
      <c r="C128">
        <v>55000</v>
      </c>
      <c r="D128" t="s">
        <v>26</v>
      </c>
      <c r="E128" t="s">
        <v>15</v>
      </c>
      <c r="F128" t="s">
        <v>31</v>
      </c>
      <c r="G128" s="1">
        <v>43881</v>
      </c>
      <c r="H128" s="1" t="s">
        <v>12</v>
      </c>
      <c r="I128" s="1" t="s">
        <v>25</v>
      </c>
      <c r="J128" s="1" t="s">
        <v>22</v>
      </c>
      <c r="K128" s="4">
        <f t="shared" ca="1" si="5"/>
        <v>6.1</v>
      </c>
      <c r="L128" t="str">
        <f t="shared" si="6"/>
        <v>Low</v>
      </c>
      <c r="M128" t="str">
        <f t="shared" si="7"/>
        <v>Low</v>
      </c>
      <c r="N128" t="str">
        <f t="shared" si="8"/>
        <v>PIP</v>
      </c>
      <c r="O128" t="str">
        <f t="shared" ca="1" si="9"/>
        <v>Not Eligible</v>
      </c>
    </row>
    <row r="129" spans="1:15" x14ac:dyDescent="0.25">
      <c r="A129" t="s">
        <v>36</v>
      </c>
      <c r="B129">
        <v>40</v>
      </c>
      <c r="C129">
        <v>60216</v>
      </c>
      <c r="D129" t="s">
        <v>9</v>
      </c>
      <c r="E129" t="s">
        <v>20</v>
      </c>
      <c r="F129" t="s">
        <v>11</v>
      </c>
      <c r="G129" s="1">
        <v>43881</v>
      </c>
      <c r="H129" s="1" t="s">
        <v>24</v>
      </c>
      <c r="I129" s="1" t="s">
        <v>44</v>
      </c>
      <c r="J129" s="1" t="s">
        <v>32</v>
      </c>
      <c r="K129" s="4">
        <f t="shared" ca="1" si="5"/>
        <v>6.1</v>
      </c>
      <c r="L129" t="str">
        <f t="shared" si="6"/>
        <v>Medium</v>
      </c>
      <c r="M129" t="str">
        <f t="shared" si="7"/>
        <v>High</v>
      </c>
      <c r="N129" t="str">
        <f t="shared" si="8"/>
        <v>No PIP</v>
      </c>
      <c r="O129" t="str">
        <f t="shared" ca="1" si="9"/>
        <v>Eligible</v>
      </c>
    </row>
    <row r="130" spans="1:15" x14ac:dyDescent="0.25">
      <c r="A130" t="s">
        <v>38</v>
      </c>
      <c r="B130">
        <v>35</v>
      </c>
      <c r="C130">
        <v>50000</v>
      </c>
      <c r="D130" t="s">
        <v>9</v>
      </c>
      <c r="E130" t="s">
        <v>10</v>
      </c>
      <c r="F130" t="s">
        <v>30</v>
      </c>
      <c r="G130" s="1">
        <v>43881</v>
      </c>
      <c r="H130" s="1" t="s">
        <v>17</v>
      </c>
      <c r="I130" s="1" t="s">
        <v>25</v>
      </c>
      <c r="J130" s="1" t="s">
        <v>44</v>
      </c>
      <c r="K130" s="4">
        <f t="shared" ca="1" si="5"/>
        <v>6.1</v>
      </c>
      <c r="L130" t="str">
        <f t="shared" si="6"/>
        <v>Low</v>
      </c>
      <c r="M130" t="str">
        <f t="shared" si="7"/>
        <v>Low</v>
      </c>
      <c r="N130" t="str">
        <f t="shared" si="8"/>
        <v>PIP</v>
      </c>
      <c r="O130" t="str">
        <f t="shared" ca="1" si="9"/>
        <v>Not Eligible</v>
      </c>
    </row>
    <row r="131" spans="1:15" x14ac:dyDescent="0.25">
      <c r="A131" t="s">
        <v>33</v>
      </c>
      <c r="B131">
        <v>25</v>
      </c>
      <c r="C131">
        <v>70000</v>
      </c>
      <c r="D131" t="s">
        <v>26</v>
      </c>
      <c r="E131" t="s">
        <v>10</v>
      </c>
      <c r="F131" t="s">
        <v>16</v>
      </c>
      <c r="G131" s="1">
        <v>43881</v>
      </c>
      <c r="H131" s="1" t="s">
        <v>29</v>
      </c>
      <c r="I131" s="1" t="s">
        <v>44</v>
      </c>
      <c r="J131" s="1" t="s">
        <v>22</v>
      </c>
      <c r="K131" s="4">
        <f t="shared" ref="K131:K194" ca="1" si="10">ROUND((TODAY()-G131)/365,1)</f>
        <v>6.1</v>
      </c>
      <c r="L131" t="str">
        <f t="shared" ref="L131:L194" si="11">IF(C131&lt;60000,"Low", IF(C131&lt;65000,"Medium","High"))</f>
        <v>High</v>
      </c>
      <c r="M131" t="str">
        <f t="shared" ref="M131:M194" si="12">IF(H131="A","High",IF(OR(H131="B",H131="C"),"Medium","Low"))</f>
        <v>Medium</v>
      </c>
      <c r="N131" t="str">
        <f t="shared" ref="N131:N194" si="13">IF(M131="Low","PIP","No PIP")</f>
        <v>No PIP</v>
      </c>
      <c r="O131" t="str">
        <f t="shared" ref="O131:O194" ca="1" si="14">IF(AND(M131="High",K131&gt;3),"Eligible","Not Eligible")</f>
        <v>Not Eligible</v>
      </c>
    </row>
    <row r="132" spans="1:15" x14ac:dyDescent="0.25">
      <c r="A132" t="s">
        <v>37</v>
      </c>
      <c r="B132">
        <v>35</v>
      </c>
      <c r="C132">
        <v>70000</v>
      </c>
      <c r="D132" t="s">
        <v>14</v>
      </c>
      <c r="E132" t="s">
        <v>23</v>
      </c>
      <c r="F132" t="s">
        <v>31</v>
      </c>
      <c r="G132" s="1">
        <v>43881</v>
      </c>
      <c r="H132" s="1" t="s">
        <v>29</v>
      </c>
      <c r="I132" s="1" t="s">
        <v>44</v>
      </c>
      <c r="J132" s="1" t="s">
        <v>19</v>
      </c>
      <c r="K132" s="4">
        <f t="shared" ca="1" si="10"/>
        <v>6.1</v>
      </c>
      <c r="L132" t="str">
        <f t="shared" si="11"/>
        <v>High</v>
      </c>
      <c r="M132" t="str">
        <f t="shared" si="12"/>
        <v>Medium</v>
      </c>
      <c r="N132" t="str">
        <f t="shared" si="13"/>
        <v>No PIP</v>
      </c>
      <c r="O132" t="str">
        <f t="shared" ca="1" si="14"/>
        <v>Not Eligible</v>
      </c>
    </row>
    <row r="133" spans="1:15" x14ac:dyDescent="0.25">
      <c r="A133" t="s">
        <v>34</v>
      </c>
      <c r="B133">
        <v>35</v>
      </c>
      <c r="C133">
        <v>70000</v>
      </c>
      <c r="D133" t="s">
        <v>14</v>
      </c>
      <c r="E133" t="s">
        <v>10</v>
      </c>
      <c r="F133" t="s">
        <v>31</v>
      </c>
      <c r="G133" s="1">
        <v>43881</v>
      </c>
      <c r="H133" s="1" t="s">
        <v>21</v>
      </c>
      <c r="I133" s="1" t="s">
        <v>44</v>
      </c>
      <c r="J133" s="1" t="s">
        <v>19</v>
      </c>
      <c r="K133" s="4">
        <f t="shared" ca="1" si="10"/>
        <v>6.1</v>
      </c>
      <c r="L133" t="str">
        <f t="shared" si="11"/>
        <v>High</v>
      </c>
      <c r="M133" t="str">
        <f t="shared" si="12"/>
        <v>Medium</v>
      </c>
      <c r="N133" t="str">
        <f t="shared" si="13"/>
        <v>No PIP</v>
      </c>
      <c r="O133" t="str">
        <f t="shared" ca="1" si="14"/>
        <v>Not Eligible</v>
      </c>
    </row>
    <row r="134" spans="1:15" x14ac:dyDescent="0.25">
      <c r="A134" t="s">
        <v>40</v>
      </c>
      <c r="B134">
        <v>40</v>
      </c>
      <c r="C134">
        <v>60216</v>
      </c>
      <c r="D134" t="s">
        <v>14</v>
      </c>
      <c r="E134" t="s">
        <v>10</v>
      </c>
      <c r="F134" t="s">
        <v>11</v>
      </c>
      <c r="G134" s="1">
        <v>43881</v>
      </c>
      <c r="H134" s="1" t="s">
        <v>12</v>
      </c>
      <c r="I134" s="1" t="s">
        <v>44</v>
      </c>
      <c r="J134" s="1" t="s">
        <v>44</v>
      </c>
      <c r="K134" s="4">
        <f t="shared" ca="1" si="10"/>
        <v>6.1</v>
      </c>
      <c r="L134" t="str">
        <f t="shared" si="11"/>
        <v>Medium</v>
      </c>
      <c r="M134" t="str">
        <f t="shared" si="12"/>
        <v>Low</v>
      </c>
      <c r="N134" t="str">
        <f t="shared" si="13"/>
        <v>PIP</v>
      </c>
      <c r="O134" t="str">
        <f t="shared" ca="1" si="14"/>
        <v>Not Eligible</v>
      </c>
    </row>
    <row r="135" spans="1:15" x14ac:dyDescent="0.25">
      <c r="A135" t="s">
        <v>42</v>
      </c>
      <c r="B135">
        <v>40</v>
      </c>
      <c r="C135">
        <v>65000</v>
      </c>
      <c r="D135" t="s">
        <v>26</v>
      </c>
      <c r="E135" t="s">
        <v>23</v>
      </c>
      <c r="F135" t="s">
        <v>31</v>
      </c>
      <c r="G135" s="1">
        <v>43881</v>
      </c>
      <c r="H135" s="1" t="s">
        <v>17</v>
      </c>
      <c r="I135" s="1" t="s">
        <v>44</v>
      </c>
      <c r="J135" s="1" t="s">
        <v>44</v>
      </c>
      <c r="K135" s="4">
        <f t="shared" ca="1" si="10"/>
        <v>6.1</v>
      </c>
      <c r="L135" t="str">
        <f t="shared" si="11"/>
        <v>High</v>
      </c>
      <c r="M135" t="str">
        <f t="shared" si="12"/>
        <v>Low</v>
      </c>
      <c r="N135" t="str">
        <f t="shared" si="13"/>
        <v>PIP</v>
      </c>
      <c r="O135" t="str">
        <f t="shared" ca="1" si="14"/>
        <v>Not Eligible</v>
      </c>
    </row>
    <row r="136" spans="1:15" x14ac:dyDescent="0.25">
      <c r="A136" t="s">
        <v>41</v>
      </c>
      <c r="B136">
        <v>50</v>
      </c>
      <c r="C136">
        <v>60216</v>
      </c>
      <c r="D136" t="s">
        <v>14</v>
      </c>
      <c r="E136" t="s">
        <v>10</v>
      </c>
      <c r="F136" t="s">
        <v>11</v>
      </c>
      <c r="G136" s="1">
        <v>43881</v>
      </c>
      <c r="H136" s="1" t="s">
        <v>29</v>
      </c>
      <c r="I136" s="1" t="s">
        <v>18</v>
      </c>
      <c r="J136" s="1" t="s">
        <v>19</v>
      </c>
      <c r="K136" s="4">
        <f t="shared" ca="1" si="10"/>
        <v>6.1</v>
      </c>
      <c r="L136" t="str">
        <f t="shared" si="11"/>
        <v>Medium</v>
      </c>
      <c r="M136" t="str">
        <f t="shared" si="12"/>
        <v>Medium</v>
      </c>
      <c r="N136" t="str">
        <f t="shared" si="13"/>
        <v>No PIP</v>
      </c>
      <c r="O136" t="str">
        <f t="shared" ca="1" si="14"/>
        <v>Not Eligible</v>
      </c>
    </row>
    <row r="137" spans="1:15" x14ac:dyDescent="0.25">
      <c r="A137" t="s">
        <v>42</v>
      </c>
      <c r="B137">
        <v>35</v>
      </c>
      <c r="C137">
        <v>60000</v>
      </c>
      <c r="D137" t="s">
        <v>26</v>
      </c>
      <c r="E137" t="s">
        <v>10</v>
      </c>
      <c r="F137" t="s">
        <v>31</v>
      </c>
      <c r="G137" s="1">
        <v>43881</v>
      </c>
      <c r="H137" s="1" t="s">
        <v>21</v>
      </c>
      <c r="I137" s="1" t="s">
        <v>13</v>
      </c>
      <c r="J137" s="1" t="s">
        <v>19</v>
      </c>
      <c r="K137" s="4">
        <f t="shared" ca="1" si="10"/>
        <v>6.1</v>
      </c>
      <c r="L137" t="str">
        <f t="shared" si="11"/>
        <v>Medium</v>
      </c>
      <c r="M137" t="str">
        <f t="shared" si="12"/>
        <v>Medium</v>
      </c>
      <c r="N137" t="str">
        <f t="shared" si="13"/>
        <v>No PIP</v>
      </c>
      <c r="O137" t="str">
        <f t="shared" ca="1" si="14"/>
        <v>Not Eligible</v>
      </c>
    </row>
    <row r="138" spans="1:15" x14ac:dyDescent="0.25">
      <c r="A138" t="s">
        <v>38</v>
      </c>
      <c r="B138">
        <v>30</v>
      </c>
      <c r="C138">
        <v>70000</v>
      </c>
      <c r="D138" t="s">
        <v>14</v>
      </c>
      <c r="E138" t="s">
        <v>15</v>
      </c>
      <c r="F138" t="s">
        <v>11</v>
      </c>
      <c r="G138" s="1">
        <v>43881</v>
      </c>
      <c r="H138" s="1" t="s">
        <v>29</v>
      </c>
      <c r="I138" s="1" t="s">
        <v>25</v>
      </c>
      <c r="J138" s="1" t="s">
        <v>19</v>
      </c>
      <c r="K138" s="4">
        <f t="shared" ca="1" si="10"/>
        <v>6.1</v>
      </c>
      <c r="L138" t="str">
        <f t="shared" si="11"/>
        <v>High</v>
      </c>
      <c r="M138" t="str">
        <f t="shared" si="12"/>
        <v>Medium</v>
      </c>
      <c r="N138" t="str">
        <f t="shared" si="13"/>
        <v>No PIP</v>
      </c>
      <c r="O138" t="str">
        <f t="shared" ca="1" si="14"/>
        <v>Not Eligible</v>
      </c>
    </row>
    <row r="139" spans="1:15" x14ac:dyDescent="0.25">
      <c r="A139" t="s">
        <v>40</v>
      </c>
      <c r="B139">
        <v>35</v>
      </c>
      <c r="C139">
        <v>65000</v>
      </c>
      <c r="D139" t="s">
        <v>9</v>
      </c>
      <c r="E139" t="s">
        <v>23</v>
      </c>
      <c r="F139" t="s">
        <v>11</v>
      </c>
      <c r="G139" s="1">
        <v>43881</v>
      </c>
      <c r="H139" s="1" t="s">
        <v>29</v>
      </c>
      <c r="I139" s="1" t="s">
        <v>44</v>
      </c>
      <c r="J139" s="1" t="s">
        <v>32</v>
      </c>
      <c r="K139" s="4">
        <f t="shared" ca="1" si="10"/>
        <v>6.1</v>
      </c>
      <c r="L139" t="str">
        <f t="shared" si="11"/>
        <v>High</v>
      </c>
      <c r="M139" t="str">
        <f t="shared" si="12"/>
        <v>Medium</v>
      </c>
      <c r="N139" t="str">
        <f t="shared" si="13"/>
        <v>No PIP</v>
      </c>
      <c r="O139" t="str">
        <f t="shared" ca="1" si="14"/>
        <v>Not Eligible</v>
      </c>
    </row>
    <row r="140" spans="1:15" x14ac:dyDescent="0.25">
      <c r="A140" t="s">
        <v>41</v>
      </c>
      <c r="B140">
        <v>35</v>
      </c>
      <c r="C140">
        <v>60000</v>
      </c>
      <c r="D140" t="s">
        <v>26</v>
      </c>
      <c r="E140" t="s">
        <v>15</v>
      </c>
      <c r="F140" t="s">
        <v>31</v>
      </c>
      <c r="G140" s="1">
        <v>43881</v>
      </c>
      <c r="H140" s="1" t="s">
        <v>17</v>
      </c>
      <c r="I140" s="1" t="s">
        <v>44</v>
      </c>
      <c r="J140" s="1" t="s">
        <v>44</v>
      </c>
      <c r="K140" s="4">
        <f t="shared" ca="1" si="10"/>
        <v>6.1</v>
      </c>
      <c r="L140" t="str">
        <f t="shared" si="11"/>
        <v>Medium</v>
      </c>
      <c r="M140" t="str">
        <f t="shared" si="12"/>
        <v>Low</v>
      </c>
      <c r="N140" t="str">
        <f t="shared" si="13"/>
        <v>PIP</v>
      </c>
      <c r="O140" t="str">
        <f t="shared" ca="1" si="14"/>
        <v>Not Eligible</v>
      </c>
    </row>
    <row r="141" spans="1:15" x14ac:dyDescent="0.25">
      <c r="A141" t="s">
        <v>37</v>
      </c>
      <c r="B141">
        <v>35</v>
      </c>
      <c r="C141">
        <v>60000</v>
      </c>
      <c r="D141" t="s">
        <v>26</v>
      </c>
      <c r="E141" t="s">
        <v>20</v>
      </c>
      <c r="F141" t="s">
        <v>31</v>
      </c>
      <c r="G141" s="1">
        <v>43881</v>
      </c>
      <c r="H141" s="1" t="s">
        <v>12</v>
      </c>
      <c r="I141" s="1" t="s">
        <v>13</v>
      </c>
      <c r="J141" s="1" t="s">
        <v>19</v>
      </c>
      <c r="K141" s="4">
        <f t="shared" ca="1" si="10"/>
        <v>6.1</v>
      </c>
      <c r="L141" t="str">
        <f t="shared" si="11"/>
        <v>Medium</v>
      </c>
      <c r="M141" t="str">
        <f t="shared" si="12"/>
        <v>Low</v>
      </c>
      <c r="N141" t="str">
        <f t="shared" si="13"/>
        <v>PIP</v>
      </c>
      <c r="O141" t="str">
        <f t="shared" ca="1" si="14"/>
        <v>Not Eligible</v>
      </c>
    </row>
    <row r="142" spans="1:15" x14ac:dyDescent="0.25">
      <c r="A142" t="s">
        <v>39</v>
      </c>
      <c r="B142">
        <v>50</v>
      </c>
      <c r="C142">
        <v>60216</v>
      </c>
      <c r="D142" t="s">
        <v>9</v>
      </c>
      <c r="E142" t="s">
        <v>15</v>
      </c>
      <c r="F142" t="s">
        <v>30</v>
      </c>
      <c r="G142" s="1">
        <v>43881</v>
      </c>
      <c r="H142" s="1" t="s">
        <v>12</v>
      </c>
      <c r="I142" s="1" t="s">
        <v>18</v>
      </c>
      <c r="J142" s="1" t="s">
        <v>44</v>
      </c>
      <c r="K142" s="4">
        <f t="shared" ca="1" si="10"/>
        <v>6.1</v>
      </c>
      <c r="L142" t="str">
        <f t="shared" si="11"/>
        <v>Medium</v>
      </c>
      <c r="M142" t="str">
        <f t="shared" si="12"/>
        <v>Low</v>
      </c>
      <c r="N142" t="str">
        <f t="shared" si="13"/>
        <v>PIP</v>
      </c>
      <c r="O142" t="str">
        <f t="shared" ca="1" si="14"/>
        <v>Not Eligible</v>
      </c>
    </row>
    <row r="143" spans="1:15" x14ac:dyDescent="0.25">
      <c r="A143" t="s">
        <v>41</v>
      </c>
      <c r="B143">
        <v>35</v>
      </c>
      <c r="C143">
        <v>65000</v>
      </c>
      <c r="D143" t="s">
        <v>14</v>
      </c>
      <c r="E143" t="s">
        <v>23</v>
      </c>
      <c r="F143" t="s">
        <v>16</v>
      </c>
      <c r="G143" s="1">
        <v>43881</v>
      </c>
      <c r="H143" s="1" t="s">
        <v>24</v>
      </c>
      <c r="I143" s="1" t="s">
        <v>44</v>
      </c>
      <c r="J143" s="1" t="s">
        <v>44</v>
      </c>
      <c r="K143" s="4">
        <f t="shared" ca="1" si="10"/>
        <v>6.1</v>
      </c>
      <c r="L143" t="str">
        <f t="shared" si="11"/>
        <v>High</v>
      </c>
      <c r="M143" t="str">
        <f t="shared" si="12"/>
        <v>High</v>
      </c>
      <c r="N143" t="str">
        <f t="shared" si="13"/>
        <v>No PIP</v>
      </c>
      <c r="O143" t="str">
        <f t="shared" ca="1" si="14"/>
        <v>Eligible</v>
      </c>
    </row>
    <row r="144" spans="1:15" x14ac:dyDescent="0.25">
      <c r="A144" t="s">
        <v>42</v>
      </c>
      <c r="B144">
        <v>40</v>
      </c>
      <c r="C144">
        <v>55000</v>
      </c>
      <c r="D144" t="s">
        <v>14</v>
      </c>
      <c r="E144" t="s">
        <v>15</v>
      </c>
      <c r="F144" t="s">
        <v>30</v>
      </c>
      <c r="G144" s="1">
        <v>43881</v>
      </c>
      <c r="H144" s="1" t="s">
        <v>21</v>
      </c>
      <c r="I144" s="1" t="s">
        <v>18</v>
      </c>
      <c r="J144" s="1" t="s">
        <v>32</v>
      </c>
      <c r="K144" s="4">
        <f t="shared" ca="1" si="10"/>
        <v>6.1</v>
      </c>
      <c r="L144" t="str">
        <f t="shared" si="11"/>
        <v>Low</v>
      </c>
      <c r="M144" t="str">
        <f t="shared" si="12"/>
        <v>Medium</v>
      </c>
      <c r="N144" t="str">
        <f t="shared" si="13"/>
        <v>No PIP</v>
      </c>
      <c r="O144" t="str">
        <f t="shared" ca="1" si="14"/>
        <v>Not Eligible</v>
      </c>
    </row>
    <row r="145" spans="1:15" x14ac:dyDescent="0.25">
      <c r="A145" t="s">
        <v>36</v>
      </c>
      <c r="B145">
        <v>35</v>
      </c>
      <c r="C145">
        <v>65000</v>
      </c>
      <c r="D145" t="s">
        <v>26</v>
      </c>
      <c r="E145" t="s">
        <v>10</v>
      </c>
      <c r="F145" t="s">
        <v>16</v>
      </c>
      <c r="G145" s="1">
        <v>43881</v>
      </c>
      <c r="H145" s="1" t="s">
        <v>21</v>
      </c>
      <c r="I145" s="1" t="s">
        <v>44</v>
      </c>
      <c r="J145" s="1" t="s">
        <v>22</v>
      </c>
      <c r="K145" s="4">
        <f t="shared" ca="1" si="10"/>
        <v>6.1</v>
      </c>
      <c r="L145" t="str">
        <f t="shared" si="11"/>
        <v>High</v>
      </c>
      <c r="M145" t="str">
        <f t="shared" si="12"/>
        <v>Medium</v>
      </c>
      <c r="N145" t="str">
        <f t="shared" si="13"/>
        <v>No PIP</v>
      </c>
      <c r="O145" t="str">
        <f t="shared" ca="1" si="14"/>
        <v>Not Eligible</v>
      </c>
    </row>
    <row r="146" spans="1:15" x14ac:dyDescent="0.25">
      <c r="A146" t="s">
        <v>39</v>
      </c>
      <c r="B146">
        <v>35</v>
      </c>
      <c r="C146">
        <v>60000</v>
      </c>
      <c r="D146" t="s">
        <v>26</v>
      </c>
      <c r="E146" t="s">
        <v>15</v>
      </c>
      <c r="F146" t="s">
        <v>30</v>
      </c>
      <c r="G146" s="1">
        <v>43881</v>
      </c>
      <c r="H146" s="1" t="s">
        <v>17</v>
      </c>
      <c r="I146" s="1" t="s">
        <v>44</v>
      </c>
      <c r="J146" s="1" t="s">
        <v>19</v>
      </c>
      <c r="K146" s="4">
        <f t="shared" ca="1" si="10"/>
        <v>6.1</v>
      </c>
      <c r="L146" t="str">
        <f t="shared" si="11"/>
        <v>Medium</v>
      </c>
      <c r="M146" t="str">
        <f t="shared" si="12"/>
        <v>Low</v>
      </c>
      <c r="N146" t="str">
        <f t="shared" si="13"/>
        <v>PIP</v>
      </c>
      <c r="O146" t="str">
        <f t="shared" ca="1" si="14"/>
        <v>Not Eligible</v>
      </c>
    </row>
    <row r="147" spans="1:15" x14ac:dyDescent="0.25">
      <c r="A147" t="s">
        <v>36</v>
      </c>
      <c r="B147">
        <v>40</v>
      </c>
      <c r="C147">
        <v>60216</v>
      </c>
      <c r="D147" t="s">
        <v>14</v>
      </c>
      <c r="E147" t="s">
        <v>23</v>
      </c>
      <c r="F147" t="s">
        <v>30</v>
      </c>
      <c r="G147" s="1">
        <v>43881</v>
      </c>
      <c r="H147" s="1" t="s">
        <v>29</v>
      </c>
      <c r="I147" s="1" t="s">
        <v>18</v>
      </c>
      <c r="J147" s="1" t="s">
        <v>19</v>
      </c>
      <c r="K147" s="4">
        <f t="shared" ca="1" si="10"/>
        <v>6.1</v>
      </c>
      <c r="L147" t="str">
        <f t="shared" si="11"/>
        <v>Medium</v>
      </c>
      <c r="M147" t="str">
        <f t="shared" si="12"/>
        <v>Medium</v>
      </c>
      <c r="N147" t="str">
        <f t="shared" si="13"/>
        <v>No PIP</v>
      </c>
      <c r="O147" t="str">
        <f t="shared" ca="1" si="14"/>
        <v>Not Eligible</v>
      </c>
    </row>
    <row r="148" spans="1:15" x14ac:dyDescent="0.25">
      <c r="A148" t="s">
        <v>41</v>
      </c>
      <c r="B148">
        <v>25</v>
      </c>
      <c r="C148">
        <v>55000</v>
      </c>
      <c r="D148" t="s">
        <v>26</v>
      </c>
      <c r="E148" t="s">
        <v>15</v>
      </c>
      <c r="F148" t="s">
        <v>16</v>
      </c>
      <c r="G148" s="1">
        <v>43881</v>
      </c>
      <c r="H148" s="1" t="s">
        <v>17</v>
      </c>
      <c r="I148" s="1" t="s">
        <v>13</v>
      </c>
      <c r="J148" s="1" t="s">
        <v>22</v>
      </c>
      <c r="K148" s="4">
        <f t="shared" ca="1" si="10"/>
        <v>6.1</v>
      </c>
      <c r="L148" t="str">
        <f t="shared" si="11"/>
        <v>Low</v>
      </c>
      <c r="M148" t="str">
        <f t="shared" si="12"/>
        <v>Low</v>
      </c>
      <c r="N148" t="str">
        <f t="shared" si="13"/>
        <v>PIP</v>
      </c>
      <c r="O148" t="str">
        <f t="shared" ca="1" si="14"/>
        <v>Not Eligible</v>
      </c>
    </row>
    <row r="149" spans="1:15" x14ac:dyDescent="0.25">
      <c r="A149" t="s">
        <v>41</v>
      </c>
      <c r="B149">
        <v>25</v>
      </c>
      <c r="C149">
        <v>55000</v>
      </c>
      <c r="D149" t="s">
        <v>26</v>
      </c>
      <c r="E149" t="s">
        <v>15</v>
      </c>
      <c r="F149" t="s">
        <v>28</v>
      </c>
      <c r="G149" s="1">
        <v>43881</v>
      </c>
      <c r="H149" s="1" t="s">
        <v>24</v>
      </c>
      <c r="I149" s="1" t="s">
        <v>13</v>
      </c>
      <c r="J149" s="1" t="s">
        <v>32</v>
      </c>
      <c r="K149" s="4">
        <f t="shared" ca="1" si="10"/>
        <v>6.1</v>
      </c>
      <c r="L149" t="str">
        <f t="shared" si="11"/>
        <v>Low</v>
      </c>
      <c r="M149" t="str">
        <f t="shared" si="12"/>
        <v>High</v>
      </c>
      <c r="N149" t="str">
        <f t="shared" si="13"/>
        <v>No PIP</v>
      </c>
      <c r="O149" t="str">
        <f t="shared" ca="1" si="14"/>
        <v>Eligible</v>
      </c>
    </row>
    <row r="150" spans="1:15" x14ac:dyDescent="0.25">
      <c r="A150" t="s">
        <v>37</v>
      </c>
      <c r="B150">
        <v>35</v>
      </c>
      <c r="C150">
        <v>60216</v>
      </c>
      <c r="D150" t="s">
        <v>14</v>
      </c>
      <c r="E150" t="s">
        <v>15</v>
      </c>
      <c r="F150" t="s">
        <v>28</v>
      </c>
      <c r="G150" s="1">
        <v>43881</v>
      </c>
      <c r="H150" s="1" t="s">
        <v>29</v>
      </c>
      <c r="I150" s="1" t="s">
        <v>13</v>
      </c>
      <c r="J150" s="1" t="s">
        <v>44</v>
      </c>
      <c r="K150" s="4">
        <f t="shared" ca="1" si="10"/>
        <v>6.1</v>
      </c>
      <c r="L150" t="str">
        <f t="shared" si="11"/>
        <v>Medium</v>
      </c>
      <c r="M150" t="str">
        <f t="shared" si="12"/>
        <v>Medium</v>
      </c>
      <c r="N150" t="str">
        <f t="shared" si="13"/>
        <v>No PIP</v>
      </c>
      <c r="O150" t="str">
        <f t="shared" ca="1" si="14"/>
        <v>Not Eligible</v>
      </c>
    </row>
    <row r="151" spans="1:15" x14ac:dyDescent="0.25">
      <c r="A151" t="s">
        <v>40</v>
      </c>
      <c r="B151">
        <v>35</v>
      </c>
      <c r="C151">
        <v>50000</v>
      </c>
      <c r="D151" t="s">
        <v>26</v>
      </c>
      <c r="E151" t="s">
        <v>23</v>
      </c>
      <c r="F151" t="s">
        <v>11</v>
      </c>
      <c r="G151" s="1">
        <v>43881</v>
      </c>
      <c r="H151" s="1" t="s">
        <v>12</v>
      </c>
      <c r="I151" s="1" t="s">
        <v>13</v>
      </c>
      <c r="J151" s="1" t="s">
        <v>44</v>
      </c>
      <c r="K151" s="4">
        <f t="shared" ca="1" si="10"/>
        <v>6.1</v>
      </c>
      <c r="L151" t="str">
        <f t="shared" si="11"/>
        <v>Low</v>
      </c>
      <c r="M151" t="str">
        <f t="shared" si="12"/>
        <v>Low</v>
      </c>
      <c r="N151" t="str">
        <f t="shared" si="13"/>
        <v>PIP</v>
      </c>
      <c r="O151" t="str">
        <f t="shared" ca="1" si="14"/>
        <v>Not Eligible</v>
      </c>
    </row>
    <row r="152" spans="1:15" x14ac:dyDescent="0.25">
      <c r="A152" t="s">
        <v>39</v>
      </c>
      <c r="B152">
        <v>35</v>
      </c>
      <c r="C152">
        <v>70000</v>
      </c>
      <c r="D152" t="s">
        <v>14</v>
      </c>
      <c r="E152" t="s">
        <v>15</v>
      </c>
      <c r="F152" t="s">
        <v>28</v>
      </c>
      <c r="G152" s="1">
        <v>43881</v>
      </c>
      <c r="H152" s="1" t="s">
        <v>24</v>
      </c>
      <c r="I152" s="1" t="s">
        <v>18</v>
      </c>
      <c r="J152" s="1" t="s">
        <v>22</v>
      </c>
      <c r="K152" s="4">
        <f t="shared" ca="1" si="10"/>
        <v>6.1</v>
      </c>
      <c r="L152" t="str">
        <f t="shared" si="11"/>
        <v>High</v>
      </c>
      <c r="M152" t="str">
        <f t="shared" si="12"/>
        <v>High</v>
      </c>
      <c r="N152" t="str">
        <f t="shared" si="13"/>
        <v>No PIP</v>
      </c>
      <c r="O152" t="str">
        <f t="shared" ca="1" si="14"/>
        <v>Eligible</v>
      </c>
    </row>
    <row r="153" spans="1:15" x14ac:dyDescent="0.25">
      <c r="A153" t="s">
        <v>33</v>
      </c>
      <c r="B153">
        <v>50</v>
      </c>
      <c r="C153">
        <v>55000</v>
      </c>
      <c r="D153" t="s">
        <v>14</v>
      </c>
      <c r="E153" t="s">
        <v>20</v>
      </c>
      <c r="F153" t="s">
        <v>11</v>
      </c>
      <c r="G153" s="1">
        <v>43881</v>
      </c>
      <c r="H153" s="1" t="s">
        <v>24</v>
      </c>
      <c r="I153" s="1" t="s">
        <v>44</v>
      </c>
      <c r="J153" s="1" t="s">
        <v>19</v>
      </c>
      <c r="K153" s="4">
        <f t="shared" ca="1" si="10"/>
        <v>6.1</v>
      </c>
      <c r="L153" t="str">
        <f t="shared" si="11"/>
        <v>Low</v>
      </c>
      <c r="M153" t="str">
        <f t="shared" si="12"/>
        <v>High</v>
      </c>
      <c r="N153" t="str">
        <f t="shared" si="13"/>
        <v>No PIP</v>
      </c>
      <c r="O153" t="str">
        <f t="shared" ca="1" si="14"/>
        <v>Eligible</v>
      </c>
    </row>
    <row r="154" spans="1:15" x14ac:dyDescent="0.25">
      <c r="A154" t="s">
        <v>36</v>
      </c>
      <c r="B154">
        <v>25</v>
      </c>
      <c r="C154">
        <v>70000</v>
      </c>
      <c r="D154" t="s">
        <v>9</v>
      </c>
      <c r="E154" t="s">
        <v>27</v>
      </c>
      <c r="F154" t="s">
        <v>16</v>
      </c>
      <c r="G154" s="1">
        <v>43881</v>
      </c>
      <c r="H154" s="1" t="s">
        <v>21</v>
      </c>
      <c r="I154" s="1" t="s">
        <v>44</v>
      </c>
      <c r="J154" s="1" t="s">
        <v>32</v>
      </c>
      <c r="K154" s="4">
        <f t="shared" ca="1" si="10"/>
        <v>6.1</v>
      </c>
      <c r="L154" t="str">
        <f t="shared" si="11"/>
        <v>High</v>
      </c>
      <c r="M154" t="str">
        <f t="shared" si="12"/>
        <v>Medium</v>
      </c>
      <c r="N154" t="str">
        <f t="shared" si="13"/>
        <v>No PIP</v>
      </c>
      <c r="O154" t="str">
        <f t="shared" ca="1" si="14"/>
        <v>Not Eligible</v>
      </c>
    </row>
    <row r="155" spans="1:15" x14ac:dyDescent="0.25">
      <c r="A155" t="s">
        <v>39</v>
      </c>
      <c r="B155">
        <v>35</v>
      </c>
      <c r="C155">
        <v>60216</v>
      </c>
      <c r="D155" t="s">
        <v>26</v>
      </c>
      <c r="E155" t="s">
        <v>20</v>
      </c>
      <c r="F155" t="s">
        <v>11</v>
      </c>
      <c r="G155" s="1">
        <v>43881</v>
      </c>
      <c r="H155" s="1" t="s">
        <v>12</v>
      </c>
      <c r="I155" s="1" t="s">
        <v>25</v>
      </c>
      <c r="J155" s="1" t="s">
        <v>32</v>
      </c>
      <c r="K155" s="4">
        <f t="shared" ca="1" si="10"/>
        <v>6.1</v>
      </c>
      <c r="L155" t="str">
        <f t="shared" si="11"/>
        <v>Medium</v>
      </c>
      <c r="M155" t="str">
        <f t="shared" si="12"/>
        <v>Low</v>
      </c>
      <c r="N155" t="str">
        <f t="shared" si="13"/>
        <v>PIP</v>
      </c>
      <c r="O155" t="str">
        <f t="shared" ca="1" si="14"/>
        <v>Not Eligible</v>
      </c>
    </row>
    <row r="156" spans="1:15" x14ac:dyDescent="0.25">
      <c r="A156" t="s">
        <v>40</v>
      </c>
      <c r="B156">
        <v>35</v>
      </c>
      <c r="C156">
        <v>60216</v>
      </c>
      <c r="D156" t="s">
        <v>26</v>
      </c>
      <c r="E156" t="s">
        <v>10</v>
      </c>
      <c r="F156" t="s">
        <v>28</v>
      </c>
      <c r="G156" s="1">
        <v>43881</v>
      </c>
      <c r="H156" s="1" t="s">
        <v>17</v>
      </c>
      <c r="I156" s="1" t="s">
        <v>44</v>
      </c>
      <c r="J156" s="1" t="s">
        <v>19</v>
      </c>
      <c r="K156" s="4">
        <f t="shared" ca="1" si="10"/>
        <v>6.1</v>
      </c>
      <c r="L156" t="str">
        <f t="shared" si="11"/>
        <v>Medium</v>
      </c>
      <c r="M156" t="str">
        <f t="shared" si="12"/>
        <v>Low</v>
      </c>
      <c r="N156" t="str">
        <f t="shared" si="13"/>
        <v>PIP</v>
      </c>
      <c r="O156" t="str">
        <f t="shared" ca="1" si="14"/>
        <v>Not Eligible</v>
      </c>
    </row>
    <row r="157" spans="1:15" x14ac:dyDescent="0.25">
      <c r="A157" t="s">
        <v>38</v>
      </c>
      <c r="B157">
        <v>50</v>
      </c>
      <c r="C157">
        <v>60216</v>
      </c>
      <c r="D157" t="s">
        <v>26</v>
      </c>
      <c r="E157" t="s">
        <v>20</v>
      </c>
      <c r="F157" t="s">
        <v>16</v>
      </c>
      <c r="G157" s="1">
        <v>43881</v>
      </c>
      <c r="H157" s="1" t="s">
        <v>29</v>
      </c>
      <c r="I157" s="1" t="s">
        <v>44</v>
      </c>
      <c r="J157" s="1" t="s">
        <v>44</v>
      </c>
      <c r="K157" s="4">
        <f t="shared" ca="1" si="10"/>
        <v>6.1</v>
      </c>
      <c r="L157" t="str">
        <f t="shared" si="11"/>
        <v>Medium</v>
      </c>
      <c r="M157" t="str">
        <f t="shared" si="12"/>
        <v>Medium</v>
      </c>
      <c r="N157" t="str">
        <f t="shared" si="13"/>
        <v>No PIP</v>
      </c>
      <c r="O157" t="str">
        <f t="shared" ca="1" si="14"/>
        <v>Not Eligible</v>
      </c>
    </row>
    <row r="158" spans="1:15" x14ac:dyDescent="0.25">
      <c r="A158" t="s">
        <v>39</v>
      </c>
      <c r="B158">
        <v>35</v>
      </c>
      <c r="C158">
        <v>60216</v>
      </c>
      <c r="D158" t="s">
        <v>14</v>
      </c>
      <c r="E158" t="s">
        <v>15</v>
      </c>
      <c r="F158" t="s">
        <v>28</v>
      </c>
      <c r="G158" s="1">
        <v>43881</v>
      </c>
      <c r="H158" s="1" t="s">
        <v>24</v>
      </c>
      <c r="I158" s="1" t="s">
        <v>18</v>
      </c>
      <c r="J158" s="1" t="s">
        <v>44</v>
      </c>
      <c r="K158" s="4">
        <f t="shared" ca="1" si="10"/>
        <v>6.1</v>
      </c>
      <c r="L158" t="str">
        <f t="shared" si="11"/>
        <v>Medium</v>
      </c>
      <c r="M158" t="str">
        <f t="shared" si="12"/>
        <v>High</v>
      </c>
      <c r="N158" t="str">
        <f t="shared" si="13"/>
        <v>No PIP</v>
      </c>
      <c r="O158" t="str">
        <f t="shared" ca="1" si="14"/>
        <v>Eligible</v>
      </c>
    </row>
    <row r="159" spans="1:15" x14ac:dyDescent="0.25">
      <c r="A159" t="s">
        <v>41</v>
      </c>
      <c r="B159">
        <v>40</v>
      </c>
      <c r="C159">
        <v>65000</v>
      </c>
      <c r="D159" t="s">
        <v>14</v>
      </c>
      <c r="E159" t="s">
        <v>27</v>
      </c>
      <c r="F159" t="s">
        <v>11</v>
      </c>
      <c r="G159" s="1">
        <v>43881</v>
      </c>
      <c r="H159" s="1" t="s">
        <v>17</v>
      </c>
      <c r="I159" s="1" t="s">
        <v>44</v>
      </c>
      <c r="J159" s="1" t="s">
        <v>32</v>
      </c>
      <c r="K159" s="4">
        <f t="shared" ca="1" si="10"/>
        <v>6.1</v>
      </c>
      <c r="L159" t="str">
        <f t="shared" si="11"/>
        <v>High</v>
      </c>
      <c r="M159" t="str">
        <f t="shared" si="12"/>
        <v>Low</v>
      </c>
      <c r="N159" t="str">
        <f t="shared" si="13"/>
        <v>PIP</v>
      </c>
      <c r="O159" t="str">
        <f t="shared" ca="1" si="14"/>
        <v>Not Eligible</v>
      </c>
    </row>
    <row r="160" spans="1:15" x14ac:dyDescent="0.25">
      <c r="A160" t="s">
        <v>41</v>
      </c>
      <c r="B160">
        <v>30</v>
      </c>
      <c r="C160">
        <v>50000</v>
      </c>
      <c r="D160" t="s">
        <v>9</v>
      </c>
      <c r="E160" t="s">
        <v>10</v>
      </c>
      <c r="F160" t="s">
        <v>31</v>
      </c>
      <c r="G160" s="1">
        <v>43881</v>
      </c>
      <c r="H160" s="1" t="s">
        <v>24</v>
      </c>
      <c r="I160" s="1" t="s">
        <v>44</v>
      </c>
      <c r="J160" s="1" t="s">
        <v>22</v>
      </c>
      <c r="K160" s="4">
        <f t="shared" ca="1" si="10"/>
        <v>6.1</v>
      </c>
      <c r="L160" t="str">
        <f t="shared" si="11"/>
        <v>Low</v>
      </c>
      <c r="M160" t="str">
        <f t="shared" si="12"/>
        <v>High</v>
      </c>
      <c r="N160" t="str">
        <f t="shared" si="13"/>
        <v>No PIP</v>
      </c>
      <c r="O160" t="str">
        <f t="shared" ca="1" si="14"/>
        <v>Eligible</v>
      </c>
    </row>
    <row r="161" spans="1:15" x14ac:dyDescent="0.25">
      <c r="A161" t="s">
        <v>37</v>
      </c>
      <c r="B161">
        <v>25</v>
      </c>
      <c r="C161">
        <v>55000</v>
      </c>
      <c r="D161" t="s">
        <v>26</v>
      </c>
      <c r="E161" t="s">
        <v>20</v>
      </c>
      <c r="F161" t="s">
        <v>28</v>
      </c>
      <c r="G161" s="1">
        <v>43881</v>
      </c>
      <c r="H161" s="1" t="s">
        <v>17</v>
      </c>
      <c r="I161" s="1" t="s">
        <v>44</v>
      </c>
      <c r="J161" s="1" t="s">
        <v>44</v>
      </c>
      <c r="K161" s="4">
        <f t="shared" ca="1" si="10"/>
        <v>6.1</v>
      </c>
      <c r="L161" t="str">
        <f t="shared" si="11"/>
        <v>Low</v>
      </c>
      <c r="M161" t="str">
        <f t="shared" si="12"/>
        <v>Low</v>
      </c>
      <c r="N161" t="str">
        <f t="shared" si="13"/>
        <v>PIP</v>
      </c>
      <c r="O161" t="str">
        <f t="shared" ca="1" si="14"/>
        <v>Not Eligible</v>
      </c>
    </row>
    <row r="162" spans="1:15" x14ac:dyDescent="0.25">
      <c r="A162" t="s">
        <v>35</v>
      </c>
      <c r="B162">
        <v>25</v>
      </c>
      <c r="C162">
        <v>60216</v>
      </c>
      <c r="D162" t="s">
        <v>26</v>
      </c>
      <c r="E162" t="s">
        <v>27</v>
      </c>
      <c r="F162" t="s">
        <v>16</v>
      </c>
      <c r="G162" s="1">
        <v>43881</v>
      </c>
      <c r="H162" s="1" t="s">
        <v>24</v>
      </c>
      <c r="I162" s="1" t="s">
        <v>44</v>
      </c>
      <c r="J162" s="1" t="s">
        <v>44</v>
      </c>
      <c r="K162" s="4">
        <f t="shared" ca="1" si="10"/>
        <v>6.1</v>
      </c>
      <c r="L162" t="str">
        <f t="shared" si="11"/>
        <v>Medium</v>
      </c>
      <c r="M162" t="str">
        <f t="shared" si="12"/>
        <v>High</v>
      </c>
      <c r="N162" t="str">
        <f t="shared" si="13"/>
        <v>No PIP</v>
      </c>
      <c r="O162" t="str">
        <f t="shared" ca="1" si="14"/>
        <v>Eligible</v>
      </c>
    </row>
    <row r="163" spans="1:15" x14ac:dyDescent="0.25">
      <c r="A163" t="s">
        <v>40</v>
      </c>
      <c r="B163">
        <v>25</v>
      </c>
      <c r="C163">
        <v>65000</v>
      </c>
      <c r="D163" t="s">
        <v>14</v>
      </c>
      <c r="E163" t="s">
        <v>15</v>
      </c>
      <c r="F163" t="s">
        <v>16</v>
      </c>
      <c r="G163" s="1">
        <v>43881</v>
      </c>
      <c r="H163" s="1" t="s">
        <v>29</v>
      </c>
      <c r="I163" s="1" t="s">
        <v>25</v>
      </c>
      <c r="J163" s="1" t="s">
        <v>44</v>
      </c>
      <c r="K163" s="4">
        <f t="shared" ca="1" si="10"/>
        <v>6.1</v>
      </c>
      <c r="L163" t="str">
        <f t="shared" si="11"/>
        <v>High</v>
      </c>
      <c r="M163" t="str">
        <f t="shared" si="12"/>
        <v>Medium</v>
      </c>
      <c r="N163" t="str">
        <f t="shared" si="13"/>
        <v>No PIP</v>
      </c>
      <c r="O163" t="str">
        <f t="shared" ca="1" si="14"/>
        <v>Not Eligible</v>
      </c>
    </row>
    <row r="164" spans="1:15" x14ac:dyDescent="0.25">
      <c r="A164" t="s">
        <v>38</v>
      </c>
      <c r="B164">
        <v>25</v>
      </c>
      <c r="C164">
        <v>65000</v>
      </c>
      <c r="D164" t="s">
        <v>26</v>
      </c>
      <c r="E164" t="s">
        <v>23</v>
      </c>
      <c r="F164" t="s">
        <v>16</v>
      </c>
      <c r="G164" s="1">
        <v>43881</v>
      </c>
      <c r="H164" s="1" t="s">
        <v>24</v>
      </c>
      <c r="I164" s="1" t="s">
        <v>25</v>
      </c>
      <c r="J164" s="1" t="s">
        <v>44</v>
      </c>
      <c r="K164" s="4">
        <f t="shared" ca="1" si="10"/>
        <v>6.1</v>
      </c>
      <c r="L164" t="str">
        <f t="shared" si="11"/>
        <v>High</v>
      </c>
      <c r="M164" t="str">
        <f t="shared" si="12"/>
        <v>High</v>
      </c>
      <c r="N164" t="str">
        <f t="shared" si="13"/>
        <v>No PIP</v>
      </c>
      <c r="O164" t="str">
        <f t="shared" ca="1" si="14"/>
        <v>Eligible</v>
      </c>
    </row>
    <row r="165" spans="1:15" x14ac:dyDescent="0.25">
      <c r="A165" t="s">
        <v>39</v>
      </c>
      <c r="B165">
        <v>30</v>
      </c>
      <c r="C165">
        <v>65000</v>
      </c>
      <c r="D165" t="s">
        <v>9</v>
      </c>
      <c r="E165" t="s">
        <v>27</v>
      </c>
      <c r="F165" t="s">
        <v>28</v>
      </c>
      <c r="G165" s="1">
        <v>43881</v>
      </c>
      <c r="H165" s="1" t="s">
        <v>12</v>
      </c>
      <c r="I165" s="1" t="s">
        <v>13</v>
      </c>
      <c r="J165" s="1" t="s">
        <v>32</v>
      </c>
      <c r="K165" s="4">
        <f t="shared" ca="1" si="10"/>
        <v>6.1</v>
      </c>
      <c r="L165" t="str">
        <f t="shared" si="11"/>
        <v>High</v>
      </c>
      <c r="M165" t="str">
        <f t="shared" si="12"/>
        <v>Low</v>
      </c>
      <c r="N165" t="str">
        <f t="shared" si="13"/>
        <v>PIP</v>
      </c>
      <c r="O165" t="str">
        <f t="shared" ca="1" si="14"/>
        <v>Not Eligible</v>
      </c>
    </row>
    <row r="166" spans="1:15" x14ac:dyDescent="0.25">
      <c r="A166" t="s">
        <v>40</v>
      </c>
      <c r="B166">
        <v>30</v>
      </c>
      <c r="C166">
        <v>60216</v>
      </c>
      <c r="D166" t="s">
        <v>26</v>
      </c>
      <c r="E166" t="s">
        <v>27</v>
      </c>
      <c r="F166" t="s">
        <v>28</v>
      </c>
      <c r="G166" s="1">
        <v>43881</v>
      </c>
      <c r="H166" s="1" t="s">
        <v>17</v>
      </c>
      <c r="I166" s="1" t="s">
        <v>25</v>
      </c>
      <c r="J166" s="1" t="s">
        <v>32</v>
      </c>
      <c r="K166" s="4">
        <f t="shared" ca="1" si="10"/>
        <v>6.1</v>
      </c>
      <c r="L166" t="str">
        <f t="shared" si="11"/>
        <v>Medium</v>
      </c>
      <c r="M166" t="str">
        <f t="shared" si="12"/>
        <v>Low</v>
      </c>
      <c r="N166" t="str">
        <f t="shared" si="13"/>
        <v>PIP</v>
      </c>
      <c r="O166" t="str">
        <f t="shared" ca="1" si="14"/>
        <v>Not Eligible</v>
      </c>
    </row>
    <row r="167" spans="1:15" x14ac:dyDescent="0.25">
      <c r="A167" t="s">
        <v>42</v>
      </c>
      <c r="B167">
        <v>35</v>
      </c>
      <c r="C167">
        <v>50000</v>
      </c>
      <c r="D167" t="s">
        <v>26</v>
      </c>
      <c r="E167" t="s">
        <v>27</v>
      </c>
      <c r="F167" t="s">
        <v>28</v>
      </c>
      <c r="G167" s="1">
        <v>43881</v>
      </c>
      <c r="H167" s="1" t="s">
        <v>24</v>
      </c>
      <c r="I167" s="1" t="s">
        <v>18</v>
      </c>
      <c r="J167" s="1" t="s">
        <v>32</v>
      </c>
      <c r="K167" s="4">
        <f t="shared" ca="1" si="10"/>
        <v>6.1</v>
      </c>
      <c r="L167" t="str">
        <f t="shared" si="11"/>
        <v>Low</v>
      </c>
      <c r="M167" t="str">
        <f t="shared" si="12"/>
        <v>High</v>
      </c>
      <c r="N167" t="str">
        <f t="shared" si="13"/>
        <v>No PIP</v>
      </c>
      <c r="O167" t="str">
        <f t="shared" ca="1" si="14"/>
        <v>Eligible</v>
      </c>
    </row>
    <row r="168" spans="1:15" x14ac:dyDescent="0.25">
      <c r="A168" t="s">
        <v>42</v>
      </c>
      <c r="B168">
        <v>40</v>
      </c>
      <c r="C168">
        <v>65000</v>
      </c>
      <c r="D168" t="s">
        <v>26</v>
      </c>
      <c r="E168" t="s">
        <v>20</v>
      </c>
      <c r="F168" t="s">
        <v>28</v>
      </c>
      <c r="G168" s="1">
        <v>43881</v>
      </c>
      <c r="H168" s="1" t="s">
        <v>12</v>
      </c>
      <c r="I168" s="1" t="s">
        <v>25</v>
      </c>
      <c r="J168" s="1" t="s">
        <v>19</v>
      </c>
      <c r="K168" s="4">
        <f t="shared" ca="1" si="10"/>
        <v>6.1</v>
      </c>
      <c r="L168" t="str">
        <f t="shared" si="11"/>
        <v>High</v>
      </c>
      <c r="M168" t="str">
        <f t="shared" si="12"/>
        <v>Low</v>
      </c>
      <c r="N168" t="str">
        <f t="shared" si="13"/>
        <v>PIP</v>
      </c>
      <c r="O168" t="str">
        <f t="shared" ca="1" si="14"/>
        <v>Not Eligible</v>
      </c>
    </row>
    <row r="169" spans="1:15" x14ac:dyDescent="0.25">
      <c r="A169" t="s">
        <v>35</v>
      </c>
      <c r="B169">
        <v>35</v>
      </c>
      <c r="C169">
        <v>60216</v>
      </c>
      <c r="D169" t="s">
        <v>14</v>
      </c>
      <c r="E169" t="s">
        <v>27</v>
      </c>
      <c r="F169" t="s">
        <v>31</v>
      </c>
      <c r="G169" s="1">
        <v>43881</v>
      </c>
      <c r="H169" s="1" t="s">
        <v>21</v>
      </c>
      <c r="I169" s="1" t="s">
        <v>44</v>
      </c>
      <c r="J169" s="1" t="s">
        <v>22</v>
      </c>
      <c r="K169" s="4">
        <f t="shared" ca="1" si="10"/>
        <v>6.1</v>
      </c>
      <c r="L169" t="str">
        <f t="shared" si="11"/>
        <v>Medium</v>
      </c>
      <c r="M169" t="str">
        <f t="shared" si="12"/>
        <v>Medium</v>
      </c>
      <c r="N169" t="str">
        <f t="shared" si="13"/>
        <v>No PIP</v>
      </c>
      <c r="O169" t="str">
        <f t="shared" ca="1" si="14"/>
        <v>Not Eligible</v>
      </c>
    </row>
    <row r="170" spans="1:15" x14ac:dyDescent="0.25">
      <c r="A170" t="s">
        <v>41</v>
      </c>
      <c r="B170">
        <v>50</v>
      </c>
      <c r="C170">
        <v>60216</v>
      </c>
      <c r="D170" t="s">
        <v>26</v>
      </c>
      <c r="E170" t="s">
        <v>10</v>
      </c>
      <c r="F170" t="s">
        <v>28</v>
      </c>
      <c r="G170" s="1">
        <v>43881</v>
      </c>
      <c r="H170" s="1" t="s">
        <v>29</v>
      </c>
      <c r="I170" s="1" t="s">
        <v>44</v>
      </c>
      <c r="J170" s="1" t="s">
        <v>19</v>
      </c>
      <c r="K170" s="4">
        <f t="shared" ca="1" si="10"/>
        <v>6.1</v>
      </c>
      <c r="L170" t="str">
        <f t="shared" si="11"/>
        <v>Medium</v>
      </c>
      <c r="M170" t="str">
        <f t="shared" si="12"/>
        <v>Medium</v>
      </c>
      <c r="N170" t="str">
        <f t="shared" si="13"/>
        <v>No PIP</v>
      </c>
      <c r="O170" t="str">
        <f t="shared" ca="1" si="14"/>
        <v>Not Eligible</v>
      </c>
    </row>
    <row r="171" spans="1:15" x14ac:dyDescent="0.25">
      <c r="A171" t="s">
        <v>35</v>
      </c>
      <c r="B171">
        <v>35</v>
      </c>
      <c r="C171">
        <v>70000</v>
      </c>
      <c r="D171" t="s">
        <v>26</v>
      </c>
      <c r="E171" t="s">
        <v>27</v>
      </c>
      <c r="F171" t="s">
        <v>28</v>
      </c>
      <c r="G171" s="1">
        <v>43881</v>
      </c>
      <c r="H171" s="1" t="s">
        <v>24</v>
      </c>
      <c r="I171" s="1" t="s">
        <v>18</v>
      </c>
      <c r="J171" s="1" t="s">
        <v>22</v>
      </c>
      <c r="K171" s="4">
        <f t="shared" ca="1" si="10"/>
        <v>6.1</v>
      </c>
      <c r="L171" t="str">
        <f t="shared" si="11"/>
        <v>High</v>
      </c>
      <c r="M171" t="str">
        <f t="shared" si="12"/>
        <v>High</v>
      </c>
      <c r="N171" t="str">
        <f t="shared" si="13"/>
        <v>No PIP</v>
      </c>
      <c r="O171" t="str">
        <f t="shared" ca="1" si="14"/>
        <v>Eligible</v>
      </c>
    </row>
    <row r="172" spans="1:15" x14ac:dyDescent="0.25">
      <c r="A172" t="s">
        <v>37</v>
      </c>
      <c r="B172">
        <v>35</v>
      </c>
      <c r="C172">
        <v>55000</v>
      </c>
      <c r="D172" t="s">
        <v>26</v>
      </c>
      <c r="E172" t="s">
        <v>10</v>
      </c>
      <c r="F172" t="s">
        <v>28</v>
      </c>
      <c r="G172" s="1">
        <v>43881</v>
      </c>
      <c r="H172" s="1" t="s">
        <v>17</v>
      </c>
      <c r="I172" s="1" t="s">
        <v>13</v>
      </c>
      <c r="J172" s="1" t="s">
        <v>19</v>
      </c>
      <c r="K172" s="4">
        <f t="shared" ca="1" si="10"/>
        <v>6.1</v>
      </c>
      <c r="L172" t="str">
        <f t="shared" si="11"/>
        <v>Low</v>
      </c>
      <c r="M172" t="str">
        <f t="shared" si="12"/>
        <v>Low</v>
      </c>
      <c r="N172" t="str">
        <f t="shared" si="13"/>
        <v>PIP</v>
      </c>
      <c r="O172" t="str">
        <f t="shared" ca="1" si="14"/>
        <v>Not Eligible</v>
      </c>
    </row>
    <row r="173" spans="1:15" x14ac:dyDescent="0.25">
      <c r="A173" t="s">
        <v>33</v>
      </c>
      <c r="B173">
        <v>50</v>
      </c>
      <c r="C173">
        <v>60000</v>
      </c>
      <c r="D173" t="s">
        <v>14</v>
      </c>
      <c r="E173" t="s">
        <v>15</v>
      </c>
      <c r="F173" t="s">
        <v>16</v>
      </c>
      <c r="G173" s="1">
        <v>43881</v>
      </c>
      <c r="H173" s="1" t="s">
        <v>12</v>
      </c>
      <c r="I173" s="1" t="s">
        <v>44</v>
      </c>
      <c r="J173" s="1" t="s">
        <v>22</v>
      </c>
      <c r="K173" s="4">
        <f t="shared" ca="1" si="10"/>
        <v>6.1</v>
      </c>
      <c r="L173" t="str">
        <f t="shared" si="11"/>
        <v>Medium</v>
      </c>
      <c r="M173" t="str">
        <f t="shared" si="12"/>
        <v>Low</v>
      </c>
      <c r="N173" t="str">
        <f t="shared" si="13"/>
        <v>PIP</v>
      </c>
      <c r="O173" t="str">
        <f t="shared" ca="1" si="14"/>
        <v>Not Eligible</v>
      </c>
    </row>
    <row r="174" spans="1:15" x14ac:dyDescent="0.25">
      <c r="A174" t="s">
        <v>35</v>
      </c>
      <c r="B174">
        <v>35</v>
      </c>
      <c r="C174">
        <v>60216</v>
      </c>
      <c r="D174" t="s">
        <v>9</v>
      </c>
      <c r="E174" t="s">
        <v>23</v>
      </c>
      <c r="F174" t="s">
        <v>31</v>
      </c>
      <c r="G174" s="1">
        <v>43881</v>
      </c>
      <c r="H174" s="1" t="s">
        <v>17</v>
      </c>
      <c r="I174" s="1" t="s">
        <v>25</v>
      </c>
      <c r="J174" s="1" t="s">
        <v>19</v>
      </c>
      <c r="K174" s="4">
        <f t="shared" ca="1" si="10"/>
        <v>6.1</v>
      </c>
      <c r="L174" t="str">
        <f t="shared" si="11"/>
        <v>Medium</v>
      </c>
      <c r="M174" t="str">
        <f t="shared" si="12"/>
        <v>Low</v>
      </c>
      <c r="N174" t="str">
        <f t="shared" si="13"/>
        <v>PIP</v>
      </c>
      <c r="O174" t="str">
        <f t="shared" ca="1" si="14"/>
        <v>Not Eligible</v>
      </c>
    </row>
    <row r="175" spans="1:15" x14ac:dyDescent="0.25">
      <c r="A175" t="s">
        <v>38</v>
      </c>
      <c r="B175">
        <v>50</v>
      </c>
      <c r="C175">
        <v>70000</v>
      </c>
      <c r="D175" t="s">
        <v>9</v>
      </c>
      <c r="E175" t="s">
        <v>20</v>
      </c>
      <c r="F175" t="s">
        <v>28</v>
      </c>
      <c r="G175" s="1">
        <v>43881</v>
      </c>
      <c r="H175" s="1" t="s">
        <v>12</v>
      </c>
      <c r="I175" s="1" t="s">
        <v>44</v>
      </c>
      <c r="J175" s="1" t="s">
        <v>44</v>
      </c>
      <c r="K175" s="4">
        <f t="shared" ca="1" si="10"/>
        <v>6.1</v>
      </c>
      <c r="L175" t="str">
        <f t="shared" si="11"/>
        <v>High</v>
      </c>
      <c r="M175" t="str">
        <f t="shared" si="12"/>
        <v>Low</v>
      </c>
      <c r="N175" t="str">
        <f t="shared" si="13"/>
        <v>PIP</v>
      </c>
      <c r="O175" t="str">
        <f t="shared" ca="1" si="14"/>
        <v>Not Eligible</v>
      </c>
    </row>
    <row r="176" spans="1:15" x14ac:dyDescent="0.25">
      <c r="A176" t="s">
        <v>37</v>
      </c>
      <c r="B176">
        <v>25</v>
      </c>
      <c r="C176">
        <v>60000</v>
      </c>
      <c r="D176" t="s">
        <v>9</v>
      </c>
      <c r="E176" t="s">
        <v>27</v>
      </c>
      <c r="F176" t="s">
        <v>16</v>
      </c>
      <c r="G176" s="1">
        <v>43881</v>
      </c>
      <c r="H176" s="1" t="s">
        <v>17</v>
      </c>
      <c r="I176" s="1" t="s">
        <v>44</v>
      </c>
      <c r="J176" s="1" t="s">
        <v>32</v>
      </c>
      <c r="K176" s="4">
        <f t="shared" ca="1" si="10"/>
        <v>6.1</v>
      </c>
      <c r="L176" t="str">
        <f t="shared" si="11"/>
        <v>Medium</v>
      </c>
      <c r="M176" t="str">
        <f t="shared" si="12"/>
        <v>Low</v>
      </c>
      <c r="N176" t="str">
        <f t="shared" si="13"/>
        <v>PIP</v>
      </c>
      <c r="O176" t="str">
        <f t="shared" ca="1" si="14"/>
        <v>Not Eligible</v>
      </c>
    </row>
    <row r="177" spans="1:15" x14ac:dyDescent="0.25">
      <c r="A177" t="s">
        <v>39</v>
      </c>
      <c r="B177">
        <v>35</v>
      </c>
      <c r="C177">
        <v>70000</v>
      </c>
      <c r="D177" t="s">
        <v>26</v>
      </c>
      <c r="E177" t="s">
        <v>15</v>
      </c>
      <c r="F177" t="s">
        <v>11</v>
      </c>
      <c r="G177" s="1">
        <v>43881</v>
      </c>
      <c r="H177" s="1" t="s">
        <v>17</v>
      </c>
      <c r="I177" s="1" t="s">
        <v>25</v>
      </c>
      <c r="J177" s="1" t="s">
        <v>44</v>
      </c>
      <c r="K177" s="4">
        <f t="shared" ca="1" si="10"/>
        <v>6.1</v>
      </c>
      <c r="L177" t="str">
        <f t="shared" si="11"/>
        <v>High</v>
      </c>
      <c r="M177" t="str">
        <f t="shared" si="12"/>
        <v>Low</v>
      </c>
      <c r="N177" t="str">
        <f t="shared" si="13"/>
        <v>PIP</v>
      </c>
      <c r="O177" t="str">
        <f t="shared" ca="1" si="14"/>
        <v>Not Eligible</v>
      </c>
    </row>
    <row r="178" spans="1:15" x14ac:dyDescent="0.25">
      <c r="A178" t="s">
        <v>33</v>
      </c>
      <c r="B178">
        <v>35</v>
      </c>
      <c r="C178">
        <v>55000</v>
      </c>
      <c r="D178" t="s">
        <v>9</v>
      </c>
      <c r="E178" t="s">
        <v>15</v>
      </c>
      <c r="F178" t="s">
        <v>28</v>
      </c>
      <c r="G178" s="1">
        <v>43881</v>
      </c>
      <c r="H178" s="1" t="s">
        <v>29</v>
      </c>
      <c r="I178" s="1" t="s">
        <v>13</v>
      </c>
      <c r="J178" s="1" t="s">
        <v>44</v>
      </c>
      <c r="K178" s="4">
        <f t="shared" ca="1" si="10"/>
        <v>6.1</v>
      </c>
      <c r="L178" t="str">
        <f t="shared" si="11"/>
        <v>Low</v>
      </c>
      <c r="M178" t="str">
        <f t="shared" si="12"/>
        <v>Medium</v>
      </c>
      <c r="N178" t="str">
        <f t="shared" si="13"/>
        <v>No PIP</v>
      </c>
      <c r="O178" t="str">
        <f t="shared" ca="1" si="14"/>
        <v>Not Eligible</v>
      </c>
    </row>
    <row r="179" spans="1:15" x14ac:dyDescent="0.25">
      <c r="A179" t="s">
        <v>42</v>
      </c>
      <c r="B179">
        <v>40</v>
      </c>
      <c r="C179">
        <v>60000</v>
      </c>
      <c r="D179" t="s">
        <v>14</v>
      </c>
      <c r="E179" t="s">
        <v>15</v>
      </c>
      <c r="F179" t="s">
        <v>11</v>
      </c>
      <c r="G179" s="1">
        <v>43881</v>
      </c>
      <c r="H179" s="1" t="s">
        <v>17</v>
      </c>
      <c r="I179" s="1" t="s">
        <v>44</v>
      </c>
      <c r="J179" s="1" t="s">
        <v>22</v>
      </c>
      <c r="K179" s="4">
        <f t="shared" ca="1" si="10"/>
        <v>6.1</v>
      </c>
      <c r="L179" t="str">
        <f t="shared" si="11"/>
        <v>Medium</v>
      </c>
      <c r="M179" t="str">
        <f t="shared" si="12"/>
        <v>Low</v>
      </c>
      <c r="N179" t="str">
        <f t="shared" si="13"/>
        <v>PIP</v>
      </c>
      <c r="O179" t="str">
        <f t="shared" ca="1" si="14"/>
        <v>Not Eligible</v>
      </c>
    </row>
    <row r="180" spans="1:15" x14ac:dyDescent="0.25">
      <c r="A180" t="s">
        <v>42</v>
      </c>
      <c r="B180">
        <v>35</v>
      </c>
      <c r="C180">
        <v>50000</v>
      </c>
      <c r="D180" t="s">
        <v>9</v>
      </c>
      <c r="E180" t="s">
        <v>27</v>
      </c>
      <c r="F180" t="s">
        <v>16</v>
      </c>
      <c r="G180" s="1">
        <v>43881</v>
      </c>
      <c r="H180" s="1" t="s">
        <v>24</v>
      </c>
      <c r="I180" s="1" t="s">
        <v>44</v>
      </c>
      <c r="J180" s="1" t="s">
        <v>44</v>
      </c>
      <c r="K180" s="4">
        <f t="shared" ca="1" si="10"/>
        <v>6.1</v>
      </c>
      <c r="L180" t="str">
        <f t="shared" si="11"/>
        <v>Low</v>
      </c>
      <c r="M180" t="str">
        <f t="shared" si="12"/>
        <v>High</v>
      </c>
      <c r="N180" t="str">
        <f t="shared" si="13"/>
        <v>No PIP</v>
      </c>
      <c r="O180" t="str">
        <f t="shared" ca="1" si="14"/>
        <v>Eligible</v>
      </c>
    </row>
    <row r="181" spans="1:15" x14ac:dyDescent="0.25">
      <c r="A181" t="s">
        <v>37</v>
      </c>
      <c r="B181">
        <v>40</v>
      </c>
      <c r="C181">
        <v>60216</v>
      </c>
      <c r="D181" t="s">
        <v>26</v>
      </c>
      <c r="E181" t="s">
        <v>15</v>
      </c>
      <c r="F181" t="s">
        <v>31</v>
      </c>
      <c r="G181" s="1">
        <v>43881</v>
      </c>
      <c r="H181" s="1" t="s">
        <v>24</v>
      </c>
      <c r="I181" s="1" t="s">
        <v>25</v>
      </c>
      <c r="J181" s="1" t="s">
        <v>22</v>
      </c>
      <c r="K181" s="4">
        <f t="shared" ca="1" si="10"/>
        <v>6.1</v>
      </c>
      <c r="L181" t="str">
        <f t="shared" si="11"/>
        <v>Medium</v>
      </c>
      <c r="M181" t="str">
        <f t="shared" si="12"/>
        <v>High</v>
      </c>
      <c r="N181" t="str">
        <f t="shared" si="13"/>
        <v>No PIP</v>
      </c>
      <c r="O181" t="str">
        <f t="shared" ca="1" si="14"/>
        <v>Eligible</v>
      </c>
    </row>
    <row r="182" spans="1:15" x14ac:dyDescent="0.25">
      <c r="A182" t="s">
        <v>40</v>
      </c>
      <c r="B182">
        <v>30</v>
      </c>
      <c r="C182">
        <v>60216</v>
      </c>
      <c r="D182" t="s">
        <v>9</v>
      </c>
      <c r="E182" t="s">
        <v>15</v>
      </c>
      <c r="F182" t="s">
        <v>28</v>
      </c>
      <c r="G182" s="1">
        <v>43881</v>
      </c>
      <c r="H182" s="1" t="s">
        <v>24</v>
      </c>
      <c r="I182" s="1" t="s">
        <v>25</v>
      </c>
      <c r="J182" s="1" t="s">
        <v>19</v>
      </c>
      <c r="K182" s="4">
        <f t="shared" ca="1" si="10"/>
        <v>6.1</v>
      </c>
      <c r="L182" t="str">
        <f t="shared" si="11"/>
        <v>Medium</v>
      </c>
      <c r="M182" t="str">
        <f t="shared" si="12"/>
        <v>High</v>
      </c>
      <c r="N182" t="str">
        <f t="shared" si="13"/>
        <v>No PIP</v>
      </c>
      <c r="O182" t="str">
        <f t="shared" ca="1" si="14"/>
        <v>Eligible</v>
      </c>
    </row>
    <row r="183" spans="1:15" x14ac:dyDescent="0.25">
      <c r="A183" t="s">
        <v>35</v>
      </c>
      <c r="B183">
        <v>50</v>
      </c>
      <c r="C183">
        <v>50000</v>
      </c>
      <c r="D183" t="s">
        <v>9</v>
      </c>
      <c r="E183" t="s">
        <v>15</v>
      </c>
      <c r="F183" t="s">
        <v>30</v>
      </c>
      <c r="G183" s="1">
        <v>43881</v>
      </c>
      <c r="H183" s="1" t="s">
        <v>29</v>
      </c>
      <c r="I183" s="1" t="s">
        <v>18</v>
      </c>
      <c r="J183" s="1" t="s">
        <v>32</v>
      </c>
      <c r="K183" s="4">
        <f t="shared" ca="1" si="10"/>
        <v>6.1</v>
      </c>
      <c r="L183" t="str">
        <f t="shared" si="11"/>
        <v>Low</v>
      </c>
      <c r="M183" t="str">
        <f t="shared" si="12"/>
        <v>Medium</v>
      </c>
      <c r="N183" t="str">
        <f t="shared" si="13"/>
        <v>No PIP</v>
      </c>
      <c r="O183" t="str">
        <f t="shared" ca="1" si="14"/>
        <v>Not Eligible</v>
      </c>
    </row>
    <row r="184" spans="1:15" x14ac:dyDescent="0.25">
      <c r="A184" t="s">
        <v>37</v>
      </c>
      <c r="B184">
        <v>35</v>
      </c>
      <c r="C184">
        <v>60216</v>
      </c>
      <c r="D184" t="s">
        <v>9</v>
      </c>
      <c r="E184" t="s">
        <v>20</v>
      </c>
      <c r="F184" t="s">
        <v>16</v>
      </c>
      <c r="G184" s="1">
        <v>43881</v>
      </c>
      <c r="H184" s="1" t="s">
        <v>12</v>
      </c>
      <c r="I184" s="1" t="s">
        <v>18</v>
      </c>
      <c r="J184" s="1" t="s">
        <v>32</v>
      </c>
      <c r="K184" s="4">
        <f t="shared" ca="1" si="10"/>
        <v>6.1</v>
      </c>
      <c r="L184" t="str">
        <f t="shared" si="11"/>
        <v>Medium</v>
      </c>
      <c r="M184" t="str">
        <f t="shared" si="12"/>
        <v>Low</v>
      </c>
      <c r="N184" t="str">
        <f t="shared" si="13"/>
        <v>PIP</v>
      </c>
      <c r="O184" t="str">
        <f t="shared" ca="1" si="14"/>
        <v>Not Eligible</v>
      </c>
    </row>
    <row r="185" spans="1:15" x14ac:dyDescent="0.25">
      <c r="A185" t="s">
        <v>34</v>
      </c>
      <c r="B185">
        <v>35</v>
      </c>
      <c r="C185">
        <v>65000</v>
      </c>
      <c r="D185" t="s">
        <v>14</v>
      </c>
      <c r="E185" t="s">
        <v>15</v>
      </c>
      <c r="F185" t="s">
        <v>31</v>
      </c>
      <c r="G185" s="1">
        <v>43881</v>
      </c>
      <c r="H185" s="1" t="s">
        <v>21</v>
      </c>
      <c r="I185" s="1" t="s">
        <v>18</v>
      </c>
      <c r="J185" s="1" t="s">
        <v>19</v>
      </c>
      <c r="K185" s="4">
        <f t="shared" ca="1" si="10"/>
        <v>6.1</v>
      </c>
      <c r="L185" t="str">
        <f t="shared" si="11"/>
        <v>High</v>
      </c>
      <c r="M185" t="str">
        <f t="shared" si="12"/>
        <v>Medium</v>
      </c>
      <c r="N185" t="str">
        <f t="shared" si="13"/>
        <v>No PIP</v>
      </c>
      <c r="O185" t="str">
        <f t="shared" ca="1" si="14"/>
        <v>Not Eligible</v>
      </c>
    </row>
    <row r="186" spans="1:15" x14ac:dyDescent="0.25">
      <c r="A186" t="s">
        <v>37</v>
      </c>
      <c r="B186">
        <v>40</v>
      </c>
      <c r="C186">
        <v>50000</v>
      </c>
      <c r="D186" t="s">
        <v>9</v>
      </c>
      <c r="E186" t="s">
        <v>10</v>
      </c>
      <c r="F186" t="s">
        <v>28</v>
      </c>
      <c r="G186" s="1">
        <v>43881</v>
      </c>
      <c r="H186" s="1" t="s">
        <v>29</v>
      </c>
      <c r="I186" s="1" t="s">
        <v>44</v>
      </c>
      <c r="J186" s="1" t="s">
        <v>19</v>
      </c>
      <c r="K186" s="4">
        <f t="shared" ca="1" si="10"/>
        <v>6.1</v>
      </c>
      <c r="L186" t="str">
        <f t="shared" si="11"/>
        <v>Low</v>
      </c>
      <c r="M186" t="str">
        <f t="shared" si="12"/>
        <v>Medium</v>
      </c>
      <c r="N186" t="str">
        <f t="shared" si="13"/>
        <v>No PIP</v>
      </c>
      <c r="O186" t="str">
        <f t="shared" ca="1" si="14"/>
        <v>Not Eligible</v>
      </c>
    </row>
    <row r="187" spans="1:15" x14ac:dyDescent="0.25">
      <c r="A187" t="s">
        <v>39</v>
      </c>
      <c r="B187">
        <v>25</v>
      </c>
      <c r="C187">
        <v>65000</v>
      </c>
      <c r="D187" t="s">
        <v>9</v>
      </c>
      <c r="E187" t="s">
        <v>20</v>
      </c>
      <c r="F187" t="s">
        <v>31</v>
      </c>
      <c r="G187" s="1">
        <v>43881</v>
      </c>
      <c r="H187" s="1" t="s">
        <v>12</v>
      </c>
      <c r="I187" s="1" t="s">
        <v>18</v>
      </c>
      <c r="J187" s="1" t="s">
        <v>44</v>
      </c>
      <c r="K187" s="4">
        <f t="shared" ca="1" si="10"/>
        <v>6.1</v>
      </c>
      <c r="L187" t="str">
        <f t="shared" si="11"/>
        <v>High</v>
      </c>
      <c r="M187" t="str">
        <f t="shared" si="12"/>
        <v>Low</v>
      </c>
      <c r="N187" t="str">
        <f t="shared" si="13"/>
        <v>PIP</v>
      </c>
      <c r="O187" t="str">
        <f t="shared" ca="1" si="14"/>
        <v>Not Eligible</v>
      </c>
    </row>
    <row r="188" spans="1:15" x14ac:dyDescent="0.25">
      <c r="A188" t="s">
        <v>42</v>
      </c>
      <c r="B188">
        <v>25</v>
      </c>
      <c r="C188">
        <v>60216</v>
      </c>
      <c r="D188" t="s">
        <v>14</v>
      </c>
      <c r="E188" t="s">
        <v>15</v>
      </c>
      <c r="F188" t="s">
        <v>31</v>
      </c>
      <c r="G188" s="1">
        <v>43881</v>
      </c>
      <c r="H188" s="1" t="s">
        <v>24</v>
      </c>
      <c r="I188" s="1" t="s">
        <v>44</v>
      </c>
      <c r="J188" s="1" t="s">
        <v>22</v>
      </c>
      <c r="K188" s="4">
        <f t="shared" ca="1" si="10"/>
        <v>6.1</v>
      </c>
      <c r="L188" t="str">
        <f t="shared" si="11"/>
        <v>Medium</v>
      </c>
      <c r="M188" t="str">
        <f t="shared" si="12"/>
        <v>High</v>
      </c>
      <c r="N188" t="str">
        <f t="shared" si="13"/>
        <v>No PIP</v>
      </c>
      <c r="O188" t="str">
        <f t="shared" ca="1" si="14"/>
        <v>Eligible</v>
      </c>
    </row>
    <row r="189" spans="1:15" x14ac:dyDescent="0.25">
      <c r="A189" t="s">
        <v>39</v>
      </c>
      <c r="B189">
        <v>40</v>
      </c>
      <c r="C189">
        <v>60000</v>
      </c>
      <c r="D189" t="s">
        <v>9</v>
      </c>
      <c r="E189" t="s">
        <v>27</v>
      </c>
      <c r="F189" t="s">
        <v>31</v>
      </c>
      <c r="G189" s="1">
        <v>43881</v>
      </c>
      <c r="H189" s="1" t="s">
        <v>17</v>
      </c>
      <c r="I189" s="1" t="s">
        <v>18</v>
      </c>
      <c r="J189" s="1" t="s">
        <v>32</v>
      </c>
      <c r="K189" s="4">
        <f t="shared" ca="1" si="10"/>
        <v>6.1</v>
      </c>
      <c r="L189" t="str">
        <f t="shared" si="11"/>
        <v>Medium</v>
      </c>
      <c r="M189" t="str">
        <f t="shared" si="12"/>
        <v>Low</v>
      </c>
      <c r="N189" t="str">
        <f t="shared" si="13"/>
        <v>PIP</v>
      </c>
      <c r="O189" t="str">
        <f t="shared" ca="1" si="14"/>
        <v>Not Eligible</v>
      </c>
    </row>
    <row r="190" spans="1:15" x14ac:dyDescent="0.25">
      <c r="A190" t="s">
        <v>42</v>
      </c>
      <c r="B190">
        <v>35</v>
      </c>
      <c r="C190">
        <v>55000</v>
      </c>
      <c r="D190" t="s">
        <v>26</v>
      </c>
      <c r="E190" t="s">
        <v>20</v>
      </c>
      <c r="F190" t="s">
        <v>30</v>
      </c>
      <c r="G190" s="1">
        <v>43881</v>
      </c>
      <c r="H190" s="1" t="s">
        <v>21</v>
      </c>
      <c r="I190" s="1" t="s">
        <v>44</v>
      </c>
      <c r="J190" s="1" t="s">
        <v>44</v>
      </c>
      <c r="K190" s="4">
        <f t="shared" ca="1" si="10"/>
        <v>6.1</v>
      </c>
      <c r="L190" t="str">
        <f t="shared" si="11"/>
        <v>Low</v>
      </c>
      <c r="M190" t="str">
        <f t="shared" si="12"/>
        <v>Medium</v>
      </c>
      <c r="N190" t="str">
        <f t="shared" si="13"/>
        <v>No PIP</v>
      </c>
      <c r="O190" t="str">
        <f t="shared" ca="1" si="14"/>
        <v>Not Eligible</v>
      </c>
    </row>
    <row r="191" spans="1:15" x14ac:dyDescent="0.25">
      <c r="A191" t="s">
        <v>38</v>
      </c>
      <c r="B191">
        <v>30</v>
      </c>
      <c r="C191">
        <v>70000</v>
      </c>
      <c r="D191" t="s">
        <v>9</v>
      </c>
      <c r="E191" t="s">
        <v>20</v>
      </c>
      <c r="F191" t="s">
        <v>11</v>
      </c>
      <c r="G191" s="1">
        <v>43881</v>
      </c>
      <c r="H191" s="1" t="s">
        <v>29</v>
      </c>
      <c r="I191" s="1" t="s">
        <v>44</v>
      </c>
      <c r="J191" s="1" t="s">
        <v>44</v>
      </c>
      <c r="K191" s="4">
        <f t="shared" ca="1" si="10"/>
        <v>6.1</v>
      </c>
      <c r="L191" t="str">
        <f t="shared" si="11"/>
        <v>High</v>
      </c>
      <c r="M191" t="str">
        <f t="shared" si="12"/>
        <v>Medium</v>
      </c>
      <c r="N191" t="str">
        <f t="shared" si="13"/>
        <v>No PIP</v>
      </c>
      <c r="O191" t="str">
        <f t="shared" ca="1" si="14"/>
        <v>Not Eligible</v>
      </c>
    </row>
    <row r="192" spans="1:15" x14ac:dyDescent="0.25">
      <c r="A192" t="s">
        <v>36</v>
      </c>
      <c r="B192">
        <v>25</v>
      </c>
      <c r="C192">
        <v>50000</v>
      </c>
      <c r="D192" t="s">
        <v>14</v>
      </c>
      <c r="E192" t="s">
        <v>27</v>
      </c>
      <c r="F192" t="s">
        <v>30</v>
      </c>
      <c r="G192" s="1">
        <v>43881</v>
      </c>
      <c r="H192" s="1" t="s">
        <v>12</v>
      </c>
      <c r="I192" s="1" t="s">
        <v>13</v>
      </c>
      <c r="J192" s="1" t="s">
        <v>22</v>
      </c>
      <c r="K192" s="4">
        <f t="shared" ca="1" si="10"/>
        <v>6.1</v>
      </c>
      <c r="L192" t="str">
        <f t="shared" si="11"/>
        <v>Low</v>
      </c>
      <c r="M192" t="str">
        <f t="shared" si="12"/>
        <v>Low</v>
      </c>
      <c r="N192" t="str">
        <f t="shared" si="13"/>
        <v>PIP</v>
      </c>
      <c r="O192" t="str">
        <f t="shared" ca="1" si="14"/>
        <v>Not Eligible</v>
      </c>
    </row>
    <row r="193" spans="1:15" x14ac:dyDescent="0.25">
      <c r="A193" t="s">
        <v>34</v>
      </c>
      <c r="B193">
        <v>35</v>
      </c>
      <c r="C193">
        <v>70000</v>
      </c>
      <c r="D193" t="s">
        <v>14</v>
      </c>
      <c r="E193" t="s">
        <v>23</v>
      </c>
      <c r="F193" t="s">
        <v>31</v>
      </c>
      <c r="G193" s="1">
        <v>43881</v>
      </c>
      <c r="H193" s="1" t="s">
        <v>24</v>
      </c>
      <c r="I193" s="1" t="s">
        <v>44</v>
      </c>
      <c r="J193" s="1" t="s">
        <v>32</v>
      </c>
      <c r="K193" s="4">
        <f t="shared" ca="1" si="10"/>
        <v>6.1</v>
      </c>
      <c r="L193" t="str">
        <f t="shared" si="11"/>
        <v>High</v>
      </c>
      <c r="M193" t="str">
        <f t="shared" si="12"/>
        <v>High</v>
      </c>
      <c r="N193" t="str">
        <f t="shared" si="13"/>
        <v>No PIP</v>
      </c>
      <c r="O193" t="str">
        <f t="shared" ca="1" si="14"/>
        <v>Eligible</v>
      </c>
    </row>
    <row r="194" spans="1:15" x14ac:dyDescent="0.25">
      <c r="A194" t="s">
        <v>35</v>
      </c>
      <c r="B194">
        <v>30</v>
      </c>
      <c r="C194">
        <v>65000</v>
      </c>
      <c r="D194" t="s">
        <v>14</v>
      </c>
      <c r="E194" t="s">
        <v>27</v>
      </c>
      <c r="F194" t="s">
        <v>30</v>
      </c>
      <c r="G194" s="1">
        <v>43881</v>
      </c>
      <c r="H194" s="1" t="s">
        <v>24</v>
      </c>
      <c r="I194" s="1" t="s">
        <v>44</v>
      </c>
      <c r="J194" s="1" t="s">
        <v>32</v>
      </c>
      <c r="K194" s="4">
        <f t="shared" ca="1" si="10"/>
        <v>6.1</v>
      </c>
      <c r="L194" t="str">
        <f t="shared" si="11"/>
        <v>High</v>
      </c>
      <c r="M194" t="str">
        <f t="shared" si="12"/>
        <v>High</v>
      </c>
      <c r="N194" t="str">
        <f t="shared" si="13"/>
        <v>No PIP</v>
      </c>
      <c r="O194" t="str">
        <f t="shared" ca="1" si="14"/>
        <v>Eligible</v>
      </c>
    </row>
    <row r="195" spans="1:15" x14ac:dyDescent="0.25">
      <c r="A195" t="s">
        <v>34</v>
      </c>
      <c r="B195">
        <v>35</v>
      </c>
      <c r="C195">
        <v>55000</v>
      </c>
      <c r="D195" t="s">
        <v>9</v>
      </c>
      <c r="E195" t="s">
        <v>27</v>
      </c>
      <c r="F195" t="s">
        <v>28</v>
      </c>
      <c r="G195" s="1">
        <v>43881</v>
      </c>
      <c r="H195" s="1" t="s">
        <v>21</v>
      </c>
      <c r="I195" s="1" t="s">
        <v>44</v>
      </c>
      <c r="J195" s="1" t="s">
        <v>44</v>
      </c>
      <c r="K195" s="4">
        <f t="shared" ref="K195:K258" ca="1" si="15">ROUND((TODAY()-G195)/365,1)</f>
        <v>6.1</v>
      </c>
      <c r="L195" t="str">
        <f t="shared" ref="L195:L258" si="16">IF(C195&lt;60000,"Low", IF(C195&lt;65000,"Medium","High"))</f>
        <v>Low</v>
      </c>
      <c r="M195" t="str">
        <f t="shared" ref="M195:M258" si="17">IF(H195="A","High",IF(OR(H195="B",H195="C"),"Medium","Low"))</f>
        <v>Medium</v>
      </c>
      <c r="N195" t="str">
        <f t="shared" ref="N195:N258" si="18">IF(M195="Low","PIP","No PIP")</f>
        <v>No PIP</v>
      </c>
      <c r="O195" t="str">
        <f t="shared" ref="O195:O258" ca="1" si="19">IF(AND(M195="High",K195&gt;3),"Eligible","Not Eligible")</f>
        <v>Not Eligible</v>
      </c>
    </row>
    <row r="196" spans="1:15" x14ac:dyDescent="0.25">
      <c r="A196" t="s">
        <v>39</v>
      </c>
      <c r="B196">
        <v>35</v>
      </c>
      <c r="C196">
        <v>55000</v>
      </c>
      <c r="D196" t="s">
        <v>14</v>
      </c>
      <c r="E196" t="s">
        <v>15</v>
      </c>
      <c r="F196" t="s">
        <v>16</v>
      </c>
      <c r="G196" s="1">
        <v>43881</v>
      </c>
      <c r="H196" s="1" t="s">
        <v>12</v>
      </c>
      <c r="I196" s="1" t="s">
        <v>25</v>
      </c>
      <c r="J196" s="1" t="s">
        <v>19</v>
      </c>
      <c r="K196" s="4">
        <f t="shared" ca="1" si="15"/>
        <v>6.1</v>
      </c>
      <c r="L196" t="str">
        <f t="shared" si="16"/>
        <v>Low</v>
      </c>
      <c r="M196" t="str">
        <f t="shared" si="17"/>
        <v>Low</v>
      </c>
      <c r="N196" t="str">
        <f t="shared" si="18"/>
        <v>PIP</v>
      </c>
      <c r="O196" t="str">
        <f t="shared" ca="1" si="19"/>
        <v>Not Eligible</v>
      </c>
    </row>
    <row r="197" spans="1:15" x14ac:dyDescent="0.25">
      <c r="A197" t="s">
        <v>38</v>
      </c>
      <c r="B197">
        <v>35</v>
      </c>
      <c r="C197">
        <v>50000</v>
      </c>
      <c r="D197" t="s">
        <v>14</v>
      </c>
      <c r="E197" t="s">
        <v>23</v>
      </c>
      <c r="F197" t="s">
        <v>28</v>
      </c>
      <c r="G197" s="1">
        <v>43881</v>
      </c>
      <c r="H197" s="1" t="s">
        <v>17</v>
      </c>
      <c r="I197" s="1" t="s">
        <v>25</v>
      </c>
      <c r="J197" s="1" t="s">
        <v>19</v>
      </c>
      <c r="K197" s="4">
        <f t="shared" ca="1" si="15"/>
        <v>6.1</v>
      </c>
      <c r="L197" t="str">
        <f t="shared" si="16"/>
        <v>Low</v>
      </c>
      <c r="M197" t="str">
        <f t="shared" si="17"/>
        <v>Low</v>
      </c>
      <c r="N197" t="str">
        <f t="shared" si="18"/>
        <v>PIP</v>
      </c>
      <c r="O197" t="str">
        <f t="shared" ca="1" si="19"/>
        <v>Not Eligible</v>
      </c>
    </row>
    <row r="198" spans="1:15" x14ac:dyDescent="0.25">
      <c r="A198" t="s">
        <v>35</v>
      </c>
      <c r="B198">
        <v>40</v>
      </c>
      <c r="C198">
        <v>55000</v>
      </c>
      <c r="D198" t="s">
        <v>14</v>
      </c>
      <c r="E198" t="s">
        <v>27</v>
      </c>
      <c r="F198" t="s">
        <v>30</v>
      </c>
      <c r="G198" s="1">
        <v>43881</v>
      </c>
      <c r="H198" s="1" t="s">
        <v>29</v>
      </c>
      <c r="I198" s="1" t="s">
        <v>44</v>
      </c>
      <c r="J198" s="1" t="s">
        <v>44</v>
      </c>
      <c r="K198" s="4">
        <f t="shared" ca="1" si="15"/>
        <v>6.1</v>
      </c>
      <c r="L198" t="str">
        <f t="shared" si="16"/>
        <v>Low</v>
      </c>
      <c r="M198" t="str">
        <f t="shared" si="17"/>
        <v>Medium</v>
      </c>
      <c r="N198" t="str">
        <f t="shared" si="18"/>
        <v>No PIP</v>
      </c>
      <c r="O198" t="str">
        <f t="shared" ca="1" si="19"/>
        <v>Not Eligible</v>
      </c>
    </row>
    <row r="199" spans="1:15" x14ac:dyDescent="0.25">
      <c r="A199" t="s">
        <v>39</v>
      </c>
      <c r="B199">
        <v>30</v>
      </c>
      <c r="C199">
        <v>55000</v>
      </c>
      <c r="D199" t="s">
        <v>26</v>
      </c>
      <c r="E199" t="s">
        <v>10</v>
      </c>
      <c r="F199" t="s">
        <v>28</v>
      </c>
      <c r="G199" s="1">
        <v>43881</v>
      </c>
      <c r="H199" s="1" t="s">
        <v>24</v>
      </c>
      <c r="I199" s="1" t="s">
        <v>18</v>
      </c>
      <c r="J199" s="1" t="s">
        <v>44</v>
      </c>
      <c r="K199" s="4">
        <f t="shared" ca="1" si="15"/>
        <v>6.1</v>
      </c>
      <c r="L199" t="str">
        <f t="shared" si="16"/>
        <v>Low</v>
      </c>
      <c r="M199" t="str">
        <f t="shared" si="17"/>
        <v>High</v>
      </c>
      <c r="N199" t="str">
        <f t="shared" si="18"/>
        <v>No PIP</v>
      </c>
      <c r="O199" t="str">
        <f t="shared" ca="1" si="19"/>
        <v>Eligible</v>
      </c>
    </row>
    <row r="200" spans="1:15" x14ac:dyDescent="0.25">
      <c r="A200" t="s">
        <v>39</v>
      </c>
      <c r="B200">
        <v>25</v>
      </c>
      <c r="C200">
        <v>65000</v>
      </c>
      <c r="D200" t="s">
        <v>9</v>
      </c>
      <c r="E200" t="s">
        <v>23</v>
      </c>
      <c r="F200" t="s">
        <v>11</v>
      </c>
      <c r="G200" s="1">
        <v>43881</v>
      </c>
      <c r="H200" s="1" t="s">
        <v>24</v>
      </c>
      <c r="I200" s="1" t="s">
        <v>44</v>
      </c>
      <c r="J200" s="1" t="s">
        <v>19</v>
      </c>
      <c r="K200" s="4">
        <f t="shared" ca="1" si="15"/>
        <v>6.1</v>
      </c>
      <c r="L200" t="str">
        <f t="shared" si="16"/>
        <v>High</v>
      </c>
      <c r="M200" t="str">
        <f t="shared" si="17"/>
        <v>High</v>
      </c>
      <c r="N200" t="str">
        <f t="shared" si="18"/>
        <v>No PIP</v>
      </c>
      <c r="O200" t="str">
        <f t="shared" ca="1" si="19"/>
        <v>Eligible</v>
      </c>
    </row>
    <row r="201" spans="1:15" x14ac:dyDescent="0.25">
      <c r="A201" t="s">
        <v>41</v>
      </c>
      <c r="B201">
        <v>50</v>
      </c>
      <c r="C201">
        <v>55000</v>
      </c>
      <c r="D201" t="s">
        <v>9</v>
      </c>
      <c r="E201" t="s">
        <v>10</v>
      </c>
      <c r="F201" t="s">
        <v>16</v>
      </c>
      <c r="G201" s="1">
        <v>43881</v>
      </c>
      <c r="H201" s="1" t="s">
        <v>17</v>
      </c>
      <c r="I201" s="1" t="s">
        <v>18</v>
      </c>
      <c r="J201" s="1" t="s">
        <v>19</v>
      </c>
      <c r="K201" s="4">
        <f t="shared" ca="1" si="15"/>
        <v>6.1</v>
      </c>
      <c r="L201" t="str">
        <f t="shared" si="16"/>
        <v>Low</v>
      </c>
      <c r="M201" t="str">
        <f t="shared" si="17"/>
        <v>Low</v>
      </c>
      <c r="N201" t="str">
        <f t="shared" si="18"/>
        <v>PIP</v>
      </c>
      <c r="O201" t="str">
        <f t="shared" ca="1" si="19"/>
        <v>Not Eligible</v>
      </c>
    </row>
    <row r="202" spans="1:15" x14ac:dyDescent="0.25">
      <c r="A202" t="s">
        <v>37</v>
      </c>
      <c r="B202">
        <v>50</v>
      </c>
      <c r="C202">
        <v>60000</v>
      </c>
      <c r="D202" t="s">
        <v>9</v>
      </c>
      <c r="E202" t="s">
        <v>20</v>
      </c>
      <c r="F202" t="s">
        <v>30</v>
      </c>
      <c r="G202" s="1">
        <v>43881</v>
      </c>
      <c r="H202" s="1" t="s">
        <v>29</v>
      </c>
      <c r="I202" s="1" t="s">
        <v>18</v>
      </c>
      <c r="J202" s="1" t="s">
        <v>22</v>
      </c>
      <c r="K202" s="4">
        <f t="shared" ca="1" si="15"/>
        <v>6.1</v>
      </c>
      <c r="L202" t="str">
        <f t="shared" si="16"/>
        <v>Medium</v>
      </c>
      <c r="M202" t="str">
        <f t="shared" si="17"/>
        <v>Medium</v>
      </c>
      <c r="N202" t="str">
        <f t="shared" si="18"/>
        <v>No PIP</v>
      </c>
      <c r="O202" t="str">
        <f t="shared" ca="1" si="19"/>
        <v>Not Eligible</v>
      </c>
    </row>
    <row r="203" spans="1:15" x14ac:dyDescent="0.25">
      <c r="A203" t="s">
        <v>39</v>
      </c>
      <c r="B203">
        <v>30</v>
      </c>
      <c r="C203">
        <v>55000</v>
      </c>
      <c r="D203" t="s">
        <v>26</v>
      </c>
      <c r="E203" t="s">
        <v>23</v>
      </c>
      <c r="F203" t="s">
        <v>16</v>
      </c>
      <c r="G203" s="1">
        <v>43881</v>
      </c>
      <c r="H203" s="1" t="s">
        <v>24</v>
      </c>
      <c r="I203" s="1" t="s">
        <v>18</v>
      </c>
      <c r="J203" s="1" t="s">
        <v>22</v>
      </c>
      <c r="K203" s="4">
        <f t="shared" ca="1" si="15"/>
        <v>6.1</v>
      </c>
      <c r="L203" t="str">
        <f t="shared" si="16"/>
        <v>Low</v>
      </c>
      <c r="M203" t="str">
        <f t="shared" si="17"/>
        <v>High</v>
      </c>
      <c r="N203" t="str">
        <f t="shared" si="18"/>
        <v>No PIP</v>
      </c>
      <c r="O203" t="str">
        <f t="shared" ca="1" si="19"/>
        <v>Eligible</v>
      </c>
    </row>
    <row r="204" spans="1:15" x14ac:dyDescent="0.25">
      <c r="A204" t="s">
        <v>36</v>
      </c>
      <c r="B204">
        <v>40</v>
      </c>
      <c r="C204">
        <v>70000</v>
      </c>
      <c r="D204" t="s">
        <v>26</v>
      </c>
      <c r="E204" t="s">
        <v>27</v>
      </c>
      <c r="F204" t="s">
        <v>11</v>
      </c>
      <c r="G204" s="1">
        <v>43881</v>
      </c>
      <c r="H204" s="1" t="s">
        <v>24</v>
      </c>
      <c r="I204" s="1" t="s">
        <v>18</v>
      </c>
      <c r="J204" s="1" t="s">
        <v>19</v>
      </c>
      <c r="K204" s="4">
        <f t="shared" ca="1" si="15"/>
        <v>6.1</v>
      </c>
      <c r="L204" t="str">
        <f t="shared" si="16"/>
        <v>High</v>
      </c>
      <c r="M204" t="str">
        <f t="shared" si="17"/>
        <v>High</v>
      </c>
      <c r="N204" t="str">
        <f t="shared" si="18"/>
        <v>No PIP</v>
      </c>
      <c r="O204" t="str">
        <f t="shared" ca="1" si="19"/>
        <v>Eligible</v>
      </c>
    </row>
    <row r="205" spans="1:15" x14ac:dyDescent="0.25">
      <c r="A205" t="s">
        <v>35</v>
      </c>
      <c r="B205">
        <v>50</v>
      </c>
      <c r="C205">
        <v>65000</v>
      </c>
      <c r="D205" t="s">
        <v>14</v>
      </c>
      <c r="E205" t="s">
        <v>27</v>
      </c>
      <c r="F205" t="s">
        <v>30</v>
      </c>
      <c r="G205" s="1">
        <v>43881</v>
      </c>
      <c r="H205" s="1" t="s">
        <v>21</v>
      </c>
      <c r="I205" s="1" t="s">
        <v>18</v>
      </c>
      <c r="J205" s="1" t="s">
        <v>22</v>
      </c>
      <c r="K205" s="4">
        <f t="shared" ca="1" si="15"/>
        <v>6.1</v>
      </c>
      <c r="L205" t="str">
        <f t="shared" si="16"/>
        <v>High</v>
      </c>
      <c r="M205" t="str">
        <f t="shared" si="17"/>
        <v>Medium</v>
      </c>
      <c r="N205" t="str">
        <f t="shared" si="18"/>
        <v>No PIP</v>
      </c>
      <c r="O205" t="str">
        <f t="shared" ca="1" si="19"/>
        <v>Not Eligible</v>
      </c>
    </row>
    <row r="206" spans="1:15" x14ac:dyDescent="0.25">
      <c r="A206" t="s">
        <v>36</v>
      </c>
      <c r="B206">
        <v>40</v>
      </c>
      <c r="C206">
        <v>70000</v>
      </c>
      <c r="D206" t="s">
        <v>26</v>
      </c>
      <c r="E206" t="s">
        <v>27</v>
      </c>
      <c r="F206" t="s">
        <v>30</v>
      </c>
      <c r="G206" s="1">
        <v>43881</v>
      </c>
      <c r="H206" s="1" t="s">
        <v>12</v>
      </c>
      <c r="I206" s="1" t="s">
        <v>44</v>
      </c>
      <c r="J206" s="1" t="s">
        <v>44</v>
      </c>
      <c r="K206" s="4">
        <f t="shared" ca="1" si="15"/>
        <v>6.1</v>
      </c>
      <c r="L206" t="str">
        <f t="shared" si="16"/>
        <v>High</v>
      </c>
      <c r="M206" t="str">
        <f t="shared" si="17"/>
        <v>Low</v>
      </c>
      <c r="N206" t="str">
        <f t="shared" si="18"/>
        <v>PIP</v>
      </c>
      <c r="O206" t="str">
        <f t="shared" ca="1" si="19"/>
        <v>Not Eligible</v>
      </c>
    </row>
    <row r="207" spans="1:15" x14ac:dyDescent="0.25">
      <c r="A207" t="s">
        <v>40</v>
      </c>
      <c r="B207">
        <v>35</v>
      </c>
      <c r="C207">
        <v>55000</v>
      </c>
      <c r="D207" t="s">
        <v>14</v>
      </c>
      <c r="E207" t="s">
        <v>20</v>
      </c>
      <c r="F207" t="s">
        <v>16</v>
      </c>
      <c r="G207" s="1">
        <v>43881</v>
      </c>
      <c r="H207" s="1" t="s">
        <v>17</v>
      </c>
      <c r="I207" s="1" t="s">
        <v>18</v>
      </c>
      <c r="J207" s="1" t="s">
        <v>44</v>
      </c>
      <c r="K207" s="4">
        <f t="shared" ca="1" si="15"/>
        <v>6.1</v>
      </c>
      <c r="L207" t="str">
        <f t="shared" si="16"/>
        <v>Low</v>
      </c>
      <c r="M207" t="str">
        <f t="shared" si="17"/>
        <v>Low</v>
      </c>
      <c r="N207" t="str">
        <f t="shared" si="18"/>
        <v>PIP</v>
      </c>
      <c r="O207" t="str">
        <f t="shared" ca="1" si="19"/>
        <v>Not Eligible</v>
      </c>
    </row>
    <row r="208" spans="1:15" x14ac:dyDescent="0.25">
      <c r="A208" t="s">
        <v>41</v>
      </c>
      <c r="B208">
        <v>35</v>
      </c>
      <c r="C208">
        <v>50000</v>
      </c>
      <c r="D208" t="s">
        <v>9</v>
      </c>
      <c r="E208" t="s">
        <v>23</v>
      </c>
      <c r="F208" t="s">
        <v>31</v>
      </c>
      <c r="G208" s="1">
        <v>43881</v>
      </c>
      <c r="H208" s="1" t="s">
        <v>21</v>
      </c>
      <c r="I208" s="1" t="s">
        <v>44</v>
      </c>
      <c r="J208" s="1" t="s">
        <v>44</v>
      </c>
      <c r="K208" s="4">
        <f t="shared" ca="1" si="15"/>
        <v>6.1</v>
      </c>
      <c r="L208" t="str">
        <f t="shared" si="16"/>
        <v>Low</v>
      </c>
      <c r="M208" t="str">
        <f t="shared" si="17"/>
        <v>Medium</v>
      </c>
      <c r="N208" t="str">
        <f t="shared" si="18"/>
        <v>No PIP</v>
      </c>
      <c r="O208" t="str">
        <f t="shared" ca="1" si="19"/>
        <v>Not Eligible</v>
      </c>
    </row>
    <row r="209" spans="1:15" x14ac:dyDescent="0.25">
      <c r="A209" t="s">
        <v>41</v>
      </c>
      <c r="B209">
        <v>35</v>
      </c>
      <c r="C209">
        <v>50000</v>
      </c>
      <c r="D209" t="s">
        <v>26</v>
      </c>
      <c r="E209" t="s">
        <v>15</v>
      </c>
      <c r="F209" t="s">
        <v>30</v>
      </c>
      <c r="G209" s="1">
        <v>43881</v>
      </c>
      <c r="H209" s="1" t="s">
        <v>24</v>
      </c>
      <c r="I209" s="1" t="s">
        <v>44</v>
      </c>
      <c r="J209" s="1" t="s">
        <v>44</v>
      </c>
      <c r="K209" s="4">
        <f t="shared" ca="1" si="15"/>
        <v>6.1</v>
      </c>
      <c r="L209" t="str">
        <f t="shared" si="16"/>
        <v>Low</v>
      </c>
      <c r="M209" t="str">
        <f t="shared" si="17"/>
        <v>High</v>
      </c>
      <c r="N209" t="str">
        <f t="shared" si="18"/>
        <v>No PIP</v>
      </c>
      <c r="O209" t="str">
        <f t="shared" ca="1" si="19"/>
        <v>Eligible</v>
      </c>
    </row>
    <row r="210" spans="1:15" x14ac:dyDescent="0.25">
      <c r="A210" t="s">
        <v>39</v>
      </c>
      <c r="B210">
        <v>40</v>
      </c>
      <c r="C210">
        <v>55000</v>
      </c>
      <c r="D210" t="s">
        <v>9</v>
      </c>
      <c r="E210" t="s">
        <v>27</v>
      </c>
      <c r="F210" t="s">
        <v>31</v>
      </c>
      <c r="G210" s="1">
        <v>43881</v>
      </c>
      <c r="H210" s="1" t="s">
        <v>24</v>
      </c>
      <c r="I210" s="1" t="s">
        <v>44</v>
      </c>
      <c r="J210" s="1" t="s">
        <v>44</v>
      </c>
      <c r="K210" s="4">
        <f t="shared" ca="1" si="15"/>
        <v>6.1</v>
      </c>
      <c r="L210" t="str">
        <f t="shared" si="16"/>
        <v>Low</v>
      </c>
      <c r="M210" t="str">
        <f t="shared" si="17"/>
        <v>High</v>
      </c>
      <c r="N210" t="str">
        <f t="shared" si="18"/>
        <v>No PIP</v>
      </c>
      <c r="O210" t="str">
        <f t="shared" ca="1" si="19"/>
        <v>Eligible</v>
      </c>
    </row>
    <row r="211" spans="1:15" x14ac:dyDescent="0.25">
      <c r="A211" t="s">
        <v>40</v>
      </c>
      <c r="B211">
        <v>40</v>
      </c>
      <c r="C211">
        <v>60216</v>
      </c>
      <c r="D211" t="s">
        <v>26</v>
      </c>
      <c r="E211" t="s">
        <v>27</v>
      </c>
      <c r="F211" t="s">
        <v>31</v>
      </c>
      <c r="G211" s="1">
        <v>43881</v>
      </c>
      <c r="H211" s="1" t="s">
        <v>12</v>
      </c>
      <c r="I211" s="1" t="s">
        <v>18</v>
      </c>
      <c r="J211" s="1" t="s">
        <v>19</v>
      </c>
      <c r="K211" s="4">
        <f t="shared" ca="1" si="15"/>
        <v>6.1</v>
      </c>
      <c r="L211" t="str">
        <f t="shared" si="16"/>
        <v>Medium</v>
      </c>
      <c r="M211" t="str">
        <f t="shared" si="17"/>
        <v>Low</v>
      </c>
      <c r="N211" t="str">
        <f t="shared" si="18"/>
        <v>PIP</v>
      </c>
      <c r="O211" t="str">
        <f t="shared" ca="1" si="19"/>
        <v>Not Eligible</v>
      </c>
    </row>
    <row r="212" spans="1:15" x14ac:dyDescent="0.25">
      <c r="A212" t="s">
        <v>35</v>
      </c>
      <c r="B212">
        <v>30</v>
      </c>
      <c r="C212">
        <v>50000</v>
      </c>
      <c r="D212" t="s">
        <v>26</v>
      </c>
      <c r="E212" t="s">
        <v>20</v>
      </c>
      <c r="F212" t="s">
        <v>30</v>
      </c>
      <c r="G212" s="1">
        <v>43881</v>
      </c>
      <c r="H212" s="1" t="s">
        <v>24</v>
      </c>
      <c r="I212" s="1" t="s">
        <v>13</v>
      </c>
      <c r="J212" s="1" t="s">
        <v>44</v>
      </c>
      <c r="K212" s="4">
        <f t="shared" ca="1" si="15"/>
        <v>6.1</v>
      </c>
      <c r="L212" t="str">
        <f t="shared" si="16"/>
        <v>Low</v>
      </c>
      <c r="M212" t="str">
        <f t="shared" si="17"/>
        <v>High</v>
      </c>
      <c r="N212" t="str">
        <f t="shared" si="18"/>
        <v>No PIP</v>
      </c>
      <c r="O212" t="str">
        <f t="shared" ca="1" si="19"/>
        <v>Eligible</v>
      </c>
    </row>
    <row r="213" spans="1:15" x14ac:dyDescent="0.25">
      <c r="A213" t="s">
        <v>42</v>
      </c>
      <c r="B213">
        <v>35</v>
      </c>
      <c r="C213">
        <v>55000</v>
      </c>
      <c r="D213" t="s">
        <v>9</v>
      </c>
      <c r="E213" t="s">
        <v>15</v>
      </c>
      <c r="F213" t="s">
        <v>28</v>
      </c>
      <c r="G213" s="1">
        <v>43881</v>
      </c>
      <c r="H213" s="1" t="s">
        <v>17</v>
      </c>
      <c r="I213" s="1" t="s">
        <v>25</v>
      </c>
      <c r="J213" s="1" t="s">
        <v>44</v>
      </c>
      <c r="K213" s="4">
        <f t="shared" ca="1" si="15"/>
        <v>6.1</v>
      </c>
      <c r="L213" t="str">
        <f t="shared" si="16"/>
        <v>Low</v>
      </c>
      <c r="M213" t="str">
        <f t="shared" si="17"/>
        <v>Low</v>
      </c>
      <c r="N213" t="str">
        <f t="shared" si="18"/>
        <v>PIP</v>
      </c>
      <c r="O213" t="str">
        <f t="shared" ca="1" si="19"/>
        <v>Not Eligible</v>
      </c>
    </row>
    <row r="214" spans="1:15" x14ac:dyDescent="0.25">
      <c r="A214" t="s">
        <v>38</v>
      </c>
      <c r="B214">
        <v>50</v>
      </c>
      <c r="C214">
        <v>60216</v>
      </c>
      <c r="D214" t="s">
        <v>9</v>
      </c>
      <c r="E214" t="s">
        <v>20</v>
      </c>
      <c r="F214" t="s">
        <v>16</v>
      </c>
      <c r="G214" s="1">
        <v>43881</v>
      </c>
      <c r="H214" s="1" t="s">
        <v>21</v>
      </c>
      <c r="I214" s="1" t="s">
        <v>13</v>
      </c>
      <c r="J214" s="1" t="s">
        <v>22</v>
      </c>
      <c r="K214" s="4">
        <f t="shared" ca="1" si="15"/>
        <v>6.1</v>
      </c>
      <c r="L214" t="str">
        <f t="shared" si="16"/>
        <v>Medium</v>
      </c>
      <c r="M214" t="str">
        <f t="shared" si="17"/>
        <v>Medium</v>
      </c>
      <c r="N214" t="str">
        <f t="shared" si="18"/>
        <v>No PIP</v>
      </c>
      <c r="O214" t="str">
        <f t="shared" ca="1" si="19"/>
        <v>Not Eligible</v>
      </c>
    </row>
    <row r="215" spans="1:15" x14ac:dyDescent="0.25">
      <c r="A215" t="s">
        <v>39</v>
      </c>
      <c r="B215">
        <v>35</v>
      </c>
      <c r="C215">
        <v>55000</v>
      </c>
      <c r="D215" t="s">
        <v>14</v>
      </c>
      <c r="E215" t="s">
        <v>27</v>
      </c>
      <c r="F215" t="s">
        <v>28</v>
      </c>
      <c r="G215" s="1">
        <v>43881</v>
      </c>
      <c r="H215" s="1" t="s">
        <v>21</v>
      </c>
      <c r="I215" s="1" t="s">
        <v>44</v>
      </c>
      <c r="J215" s="1" t="s">
        <v>44</v>
      </c>
      <c r="K215" s="4">
        <f t="shared" ca="1" si="15"/>
        <v>6.1</v>
      </c>
      <c r="L215" t="str">
        <f t="shared" si="16"/>
        <v>Low</v>
      </c>
      <c r="M215" t="str">
        <f t="shared" si="17"/>
        <v>Medium</v>
      </c>
      <c r="N215" t="str">
        <f t="shared" si="18"/>
        <v>No PIP</v>
      </c>
      <c r="O215" t="str">
        <f t="shared" ca="1" si="19"/>
        <v>Not Eligible</v>
      </c>
    </row>
    <row r="216" spans="1:15" x14ac:dyDescent="0.25">
      <c r="A216" t="s">
        <v>38</v>
      </c>
      <c r="B216">
        <v>40</v>
      </c>
      <c r="C216">
        <v>60216</v>
      </c>
      <c r="D216" t="s">
        <v>9</v>
      </c>
      <c r="E216" t="s">
        <v>10</v>
      </c>
      <c r="F216" t="s">
        <v>16</v>
      </c>
      <c r="G216" s="1">
        <v>43881</v>
      </c>
      <c r="H216" s="1" t="s">
        <v>21</v>
      </c>
      <c r="I216" s="1" t="s">
        <v>44</v>
      </c>
      <c r="J216" s="1" t="s">
        <v>19</v>
      </c>
      <c r="K216" s="4">
        <f t="shared" ca="1" si="15"/>
        <v>6.1</v>
      </c>
      <c r="L216" t="str">
        <f t="shared" si="16"/>
        <v>Medium</v>
      </c>
      <c r="M216" t="str">
        <f t="shared" si="17"/>
        <v>Medium</v>
      </c>
      <c r="N216" t="str">
        <f t="shared" si="18"/>
        <v>No PIP</v>
      </c>
      <c r="O216" t="str">
        <f t="shared" ca="1" si="19"/>
        <v>Not Eligible</v>
      </c>
    </row>
    <row r="217" spans="1:15" x14ac:dyDescent="0.25">
      <c r="A217" t="s">
        <v>36</v>
      </c>
      <c r="B217">
        <v>35</v>
      </c>
      <c r="C217">
        <v>55000</v>
      </c>
      <c r="D217" t="s">
        <v>14</v>
      </c>
      <c r="E217" t="s">
        <v>27</v>
      </c>
      <c r="F217" t="s">
        <v>31</v>
      </c>
      <c r="G217" s="1">
        <v>43881</v>
      </c>
      <c r="H217" s="1" t="s">
        <v>29</v>
      </c>
      <c r="I217" s="1" t="s">
        <v>13</v>
      </c>
      <c r="J217" s="1" t="s">
        <v>22</v>
      </c>
      <c r="K217" s="4">
        <f t="shared" ca="1" si="15"/>
        <v>6.1</v>
      </c>
      <c r="L217" t="str">
        <f t="shared" si="16"/>
        <v>Low</v>
      </c>
      <c r="M217" t="str">
        <f t="shared" si="17"/>
        <v>Medium</v>
      </c>
      <c r="N217" t="str">
        <f t="shared" si="18"/>
        <v>No PIP</v>
      </c>
      <c r="O217" t="str">
        <f t="shared" ca="1" si="19"/>
        <v>Not Eligible</v>
      </c>
    </row>
    <row r="218" spans="1:15" x14ac:dyDescent="0.25">
      <c r="A218" t="s">
        <v>36</v>
      </c>
      <c r="B218">
        <v>35</v>
      </c>
      <c r="C218">
        <v>55000</v>
      </c>
      <c r="D218" t="s">
        <v>14</v>
      </c>
      <c r="E218" t="s">
        <v>27</v>
      </c>
      <c r="F218" t="s">
        <v>28</v>
      </c>
      <c r="G218" s="1">
        <v>43881</v>
      </c>
      <c r="H218" s="1" t="s">
        <v>24</v>
      </c>
      <c r="I218" s="1" t="s">
        <v>18</v>
      </c>
      <c r="J218" s="1" t="s">
        <v>19</v>
      </c>
      <c r="K218" s="4">
        <f t="shared" ca="1" si="15"/>
        <v>6.1</v>
      </c>
      <c r="L218" t="str">
        <f t="shared" si="16"/>
        <v>Low</v>
      </c>
      <c r="M218" t="str">
        <f t="shared" si="17"/>
        <v>High</v>
      </c>
      <c r="N218" t="str">
        <f t="shared" si="18"/>
        <v>No PIP</v>
      </c>
      <c r="O218" t="str">
        <f t="shared" ca="1" si="19"/>
        <v>Eligible</v>
      </c>
    </row>
    <row r="219" spans="1:15" x14ac:dyDescent="0.25">
      <c r="A219" t="s">
        <v>35</v>
      </c>
      <c r="B219">
        <v>40</v>
      </c>
      <c r="C219">
        <v>60000</v>
      </c>
      <c r="D219" t="s">
        <v>9</v>
      </c>
      <c r="E219" t="s">
        <v>15</v>
      </c>
      <c r="F219" t="s">
        <v>28</v>
      </c>
      <c r="G219" s="1">
        <v>43881</v>
      </c>
      <c r="H219" s="1" t="s">
        <v>17</v>
      </c>
      <c r="I219" s="1" t="s">
        <v>44</v>
      </c>
      <c r="J219" s="1" t="s">
        <v>22</v>
      </c>
      <c r="K219" s="4">
        <f t="shared" ca="1" si="15"/>
        <v>6.1</v>
      </c>
      <c r="L219" t="str">
        <f t="shared" si="16"/>
        <v>Medium</v>
      </c>
      <c r="M219" t="str">
        <f t="shared" si="17"/>
        <v>Low</v>
      </c>
      <c r="N219" t="str">
        <f t="shared" si="18"/>
        <v>PIP</v>
      </c>
      <c r="O219" t="str">
        <f t="shared" ca="1" si="19"/>
        <v>Not Eligible</v>
      </c>
    </row>
    <row r="220" spans="1:15" x14ac:dyDescent="0.25">
      <c r="A220" t="s">
        <v>39</v>
      </c>
      <c r="B220">
        <v>25</v>
      </c>
      <c r="C220">
        <v>70000</v>
      </c>
      <c r="D220" t="s">
        <v>9</v>
      </c>
      <c r="E220" t="s">
        <v>23</v>
      </c>
      <c r="F220" t="s">
        <v>31</v>
      </c>
      <c r="G220" s="1">
        <v>43881</v>
      </c>
      <c r="H220" s="1" t="s">
        <v>29</v>
      </c>
      <c r="I220" s="1" t="s">
        <v>18</v>
      </c>
      <c r="J220" s="1" t="s">
        <v>32</v>
      </c>
      <c r="K220" s="4">
        <f t="shared" ca="1" si="15"/>
        <v>6.1</v>
      </c>
      <c r="L220" t="str">
        <f t="shared" si="16"/>
        <v>High</v>
      </c>
      <c r="M220" t="str">
        <f t="shared" si="17"/>
        <v>Medium</v>
      </c>
      <c r="N220" t="str">
        <f t="shared" si="18"/>
        <v>No PIP</v>
      </c>
      <c r="O220" t="str">
        <f t="shared" ca="1" si="19"/>
        <v>Not Eligible</v>
      </c>
    </row>
    <row r="221" spans="1:15" x14ac:dyDescent="0.25">
      <c r="A221" t="s">
        <v>41</v>
      </c>
      <c r="B221">
        <v>35</v>
      </c>
      <c r="C221">
        <v>65000</v>
      </c>
      <c r="D221" t="s">
        <v>9</v>
      </c>
      <c r="E221" t="s">
        <v>15</v>
      </c>
      <c r="F221" t="s">
        <v>30</v>
      </c>
      <c r="G221" s="1">
        <v>43881</v>
      </c>
      <c r="H221" s="1" t="s">
        <v>12</v>
      </c>
      <c r="I221" s="1" t="s">
        <v>44</v>
      </c>
      <c r="J221" s="1" t="s">
        <v>44</v>
      </c>
      <c r="K221" s="4">
        <f t="shared" ca="1" si="15"/>
        <v>6.1</v>
      </c>
      <c r="L221" t="str">
        <f t="shared" si="16"/>
        <v>High</v>
      </c>
      <c r="M221" t="str">
        <f t="shared" si="17"/>
        <v>Low</v>
      </c>
      <c r="N221" t="str">
        <f t="shared" si="18"/>
        <v>PIP</v>
      </c>
      <c r="O221" t="str">
        <f t="shared" ca="1" si="19"/>
        <v>Not Eligible</v>
      </c>
    </row>
    <row r="222" spans="1:15" x14ac:dyDescent="0.25">
      <c r="A222" t="s">
        <v>35</v>
      </c>
      <c r="B222">
        <v>30</v>
      </c>
      <c r="C222">
        <v>65000</v>
      </c>
      <c r="D222" t="s">
        <v>26</v>
      </c>
      <c r="E222" t="s">
        <v>10</v>
      </c>
      <c r="F222" t="s">
        <v>16</v>
      </c>
      <c r="G222" s="1">
        <v>43881</v>
      </c>
      <c r="H222" s="1" t="s">
        <v>29</v>
      </c>
      <c r="I222" s="1" t="s">
        <v>13</v>
      </c>
      <c r="J222" s="1" t="s">
        <v>22</v>
      </c>
      <c r="K222" s="4">
        <f t="shared" ca="1" si="15"/>
        <v>6.1</v>
      </c>
      <c r="L222" t="str">
        <f t="shared" si="16"/>
        <v>High</v>
      </c>
      <c r="M222" t="str">
        <f t="shared" si="17"/>
        <v>Medium</v>
      </c>
      <c r="N222" t="str">
        <f t="shared" si="18"/>
        <v>No PIP</v>
      </c>
      <c r="O222" t="str">
        <f t="shared" ca="1" si="19"/>
        <v>Not Eligible</v>
      </c>
    </row>
    <row r="223" spans="1:15" x14ac:dyDescent="0.25">
      <c r="A223" t="s">
        <v>34</v>
      </c>
      <c r="B223">
        <v>25</v>
      </c>
      <c r="C223">
        <v>50000</v>
      </c>
      <c r="D223" t="s">
        <v>14</v>
      </c>
      <c r="E223" t="s">
        <v>27</v>
      </c>
      <c r="F223" t="s">
        <v>31</v>
      </c>
      <c r="G223" s="1">
        <v>43881</v>
      </c>
      <c r="H223" s="1" t="s">
        <v>17</v>
      </c>
      <c r="I223" s="1" t="s">
        <v>44</v>
      </c>
      <c r="J223" s="1" t="s">
        <v>44</v>
      </c>
      <c r="K223" s="4">
        <f t="shared" ca="1" si="15"/>
        <v>6.1</v>
      </c>
      <c r="L223" t="str">
        <f t="shared" si="16"/>
        <v>Low</v>
      </c>
      <c r="M223" t="str">
        <f t="shared" si="17"/>
        <v>Low</v>
      </c>
      <c r="N223" t="str">
        <f t="shared" si="18"/>
        <v>PIP</v>
      </c>
      <c r="O223" t="str">
        <f t="shared" ca="1" si="19"/>
        <v>Not Eligible</v>
      </c>
    </row>
    <row r="224" spans="1:15" x14ac:dyDescent="0.25">
      <c r="A224" t="s">
        <v>42</v>
      </c>
      <c r="B224">
        <v>30</v>
      </c>
      <c r="C224">
        <v>60216</v>
      </c>
      <c r="D224" t="s">
        <v>9</v>
      </c>
      <c r="E224" t="s">
        <v>27</v>
      </c>
      <c r="F224" t="s">
        <v>28</v>
      </c>
      <c r="G224" s="1">
        <v>43881</v>
      </c>
      <c r="H224" s="1" t="s">
        <v>24</v>
      </c>
      <c r="I224" s="1" t="s">
        <v>18</v>
      </c>
      <c r="J224" s="1" t="s">
        <v>19</v>
      </c>
      <c r="K224" s="4">
        <f t="shared" ca="1" si="15"/>
        <v>6.1</v>
      </c>
      <c r="L224" t="str">
        <f t="shared" si="16"/>
        <v>Medium</v>
      </c>
      <c r="M224" t="str">
        <f t="shared" si="17"/>
        <v>High</v>
      </c>
      <c r="N224" t="str">
        <f t="shared" si="18"/>
        <v>No PIP</v>
      </c>
      <c r="O224" t="str">
        <f t="shared" ca="1" si="19"/>
        <v>Eligible</v>
      </c>
    </row>
    <row r="225" spans="1:15" x14ac:dyDescent="0.25">
      <c r="A225" t="s">
        <v>41</v>
      </c>
      <c r="B225">
        <v>25</v>
      </c>
      <c r="C225">
        <v>55000</v>
      </c>
      <c r="D225" t="s">
        <v>14</v>
      </c>
      <c r="E225" t="s">
        <v>20</v>
      </c>
      <c r="F225" t="s">
        <v>28</v>
      </c>
      <c r="G225" s="1">
        <v>43881</v>
      </c>
      <c r="H225" s="1" t="s">
        <v>29</v>
      </c>
      <c r="I225" s="1" t="s">
        <v>44</v>
      </c>
      <c r="J225" s="1" t="s">
        <v>44</v>
      </c>
      <c r="K225" s="4">
        <f t="shared" ca="1" si="15"/>
        <v>6.1</v>
      </c>
      <c r="L225" t="str">
        <f t="shared" si="16"/>
        <v>Low</v>
      </c>
      <c r="M225" t="str">
        <f t="shared" si="17"/>
        <v>Medium</v>
      </c>
      <c r="N225" t="str">
        <f t="shared" si="18"/>
        <v>No PIP</v>
      </c>
      <c r="O225" t="str">
        <f t="shared" ca="1" si="19"/>
        <v>Not Eligible</v>
      </c>
    </row>
    <row r="226" spans="1:15" x14ac:dyDescent="0.25">
      <c r="A226" t="s">
        <v>39</v>
      </c>
      <c r="B226">
        <v>35</v>
      </c>
      <c r="C226">
        <v>65000</v>
      </c>
      <c r="D226" t="s">
        <v>14</v>
      </c>
      <c r="E226" t="s">
        <v>23</v>
      </c>
      <c r="F226" t="s">
        <v>31</v>
      </c>
      <c r="G226" s="1">
        <v>43881</v>
      </c>
      <c r="H226" s="1" t="s">
        <v>21</v>
      </c>
      <c r="I226" s="1" t="s">
        <v>18</v>
      </c>
      <c r="J226" s="1" t="s">
        <v>44</v>
      </c>
      <c r="K226" s="4">
        <f t="shared" ca="1" si="15"/>
        <v>6.1</v>
      </c>
      <c r="L226" t="str">
        <f t="shared" si="16"/>
        <v>High</v>
      </c>
      <c r="M226" t="str">
        <f t="shared" si="17"/>
        <v>Medium</v>
      </c>
      <c r="N226" t="str">
        <f t="shared" si="18"/>
        <v>No PIP</v>
      </c>
      <c r="O226" t="str">
        <f t="shared" ca="1" si="19"/>
        <v>Not Eligible</v>
      </c>
    </row>
    <row r="227" spans="1:15" x14ac:dyDescent="0.25">
      <c r="A227" t="s">
        <v>34</v>
      </c>
      <c r="B227">
        <v>35</v>
      </c>
      <c r="C227">
        <v>50000</v>
      </c>
      <c r="D227" t="s">
        <v>14</v>
      </c>
      <c r="E227" t="s">
        <v>20</v>
      </c>
      <c r="F227" t="s">
        <v>30</v>
      </c>
      <c r="G227" s="1">
        <v>43881</v>
      </c>
      <c r="H227" s="1" t="s">
        <v>12</v>
      </c>
      <c r="I227" s="1" t="s">
        <v>44</v>
      </c>
      <c r="J227" s="1" t="s">
        <v>32</v>
      </c>
      <c r="K227" s="4">
        <f t="shared" ca="1" si="15"/>
        <v>6.1</v>
      </c>
      <c r="L227" t="str">
        <f t="shared" si="16"/>
        <v>Low</v>
      </c>
      <c r="M227" t="str">
        <f t="shared" si="17"/>
        <v>Low</v>
      </c>
      <c r="N227" t="str">
        <f t="shared" si="18"/>
        <v>PIP</v>
      </c>
      <c r="O227" t="str">
        <f t="shared" ca="1" si="19"/>
        <v>Not Eligible</v>
      </c>
    </row>
    <row r="228" spans="1:15" x14ac:dyDescent="0.25">
      <c r="A228" t="s">
        <v>34</v>
      </c>
      <c r="B228">
        <v>35</v>
      </c>
      <c r="C228">
        <v>70000</v>
      </c>
      <c r="D228" t="s">
        <v>9</v>
      </c>
      <c r="E228" t="s">
        <v>23</v>
      </c>
      <c r="F228" t="s">
        <v>16</v>
      </c>
      <c r="G228" s="1">
        <v>43881</v>
      </c>
      <c r="H228" s="1" t="s">
        <v>17</v>
      </c>
      <c r="I228" s="1" t="s">
        <v>18</v>
      </c>
      <c r="J228" s="1" t="s">
        <v>22</v>
      </c>
      <c r="K228" s="4">
        <f t="shared" ca="1" si="15"/>
        <v>6.1</v>
      </c>
      <c r="L228" t="str">
        <f t="shared" si="16"/>
        <v>High</v>
      </c>
      <c r="M228" t="str">
        <f t="shared" si="17"/>
        <v>Low</v>
      </c>
      <c r="N228" t="str">
        <f t="shared" si="18"/>
        <v>PIP</v>
      </c>
      <c r="O228" t="str">
        <f t="shared" ca="1" si="19"/>
        <v>Not Eligible</v>
      </c>
    </row>
    <row r="229" spans="1:15" x14ac:dyDescent="0.25">
      <c r="A229" t="s">
        <v>35</v>
      </c>
      <c r="B229">
        <v>40</v>
      </c>
      <c r="C229">
        <v>50000</v>
      </c>
      <c r="D229" t="s">
        <v>9</v>
      </c>
      <c r="E229" t="s">
        <v>27</v>
      </c>
      <c r="F229" t="s">
        <v>16</v>
      </c>
      <c r="G229" s="1">
        <v>43881</v>
      </c>
      <c r="H229" s="1" t="s">
        <v>21</v>
      </c>
      <c r="I229" s="1" t="s">
        <v>44</v>
      </c>
      <c r="J229" s="1" t="s">
        <v>19</v>
      </c>
      <c r="K229" s="4">
        <f t="shared" ca="1" si="15"/>
        <v>6.1</v>
      </c>
      <c r="L229" t="str">
        <f t="shared" si="16"/>
        <v>Low</v>
      </c>
      <c r="M229" t="str">
        <f t="shared" si="17"/>
        <v>Medium</v>
      </c>
      <c r="N229" t="str">
        <f t="shared" si="18"/>
        <v>No PIP</v>
      </c>
      <c r="O229" t="str">
        <f t="shared" ca="1" si="19"/>
        <v>Not Eligible</v>
      </c>
    </row>
    <row r="230" spans="1:15" x14ac:dyDescent="0.25">
      <c r="A230" t="s">
        <v>34</v>
      </c>
      <c r="B230">
        <v>25</v>
      </c>
      <c r="C230">
        <v>65000</v>
      </c>
      <c r="D230" t="s">
        <v>14</v>
      </c>
      <c r="E230" t="s">
        <v>23</v>
      </c>
      <c r="F230" t="s">
        <v>11</v>
      </c>
      <c r="G230" s="1">
        <v>43881</v>
      </c>
      <c r="H230" s="1" t="s">
        <v>17</v>
      </c>
      <c r="I230" s="1" t="s">
        <v>44</v>
      </c>
      <c r="J230" s="1" t="s">
        <v>44</v>
      </c>
      <c r="K230" s="4">
        <f t="shared" ca="1" si="15"/>
        <v>6.1</v>
      </c>
      <c r="L230" t="str">
        <f t="shared" si="16"/>
        <v>High</v>
      </c>
      <c r="M230" t="str">
        <f t="shared" si="17"/>
        <v>Low</v>
      </c>
      <c r="N230" t="str">
        <f t="shared" si="18"/>
        <v>PIP</v>
      </c>
      <c r="O230" t="str">
        <f t="shared" ca="1" si="19"/>
        <v>Not Eligible</v>
      </c>
    </row>
    <row r="231" spans="1:15" x14ac:dyDescent="0.25">
      <c r="A231" t="s">
        <v>39</v>
      </c>
      <c r="B231">
        <v>30</v>
      </c>
      <c r="C231">
        <v>60000</v>
      </c>
      <c r="D231" t="s">
        <v>14</v>
      </c>
      <c r="E231" t="s">
        <v>27</v>
      </c>
      <c r="F231" t="s">
        <v>31</v>
      </c>
      <c r="G231" s="1">
        <v>43881</v>
      </c>
      <c r="H231" s="1" t="s">
        <v>24</v>
      </c>
      <c r="I231" s="1" t="s">
        <v>13</v>
      </c>
      <c r="J231" s="1" t="s">
        <v>32</v>
      </c>
      <c r="K231" s="4">
        <f t="shared" ca="1" si="15"/>
        <v>6.1</v>
      </c>
      <c r="L231" t="str">
        <f t="shared" si="16"/>
        <v>Medium</v>
      </c>
      <c r="M231" t="str">
        <f t="shared" si="17"/>
        <v>High</v>
      </c>
      <c r="N231" t="str">
        <f t="shared" si="18"/>
        <v>No PIP</v>
      </c>
      <c r="O231" t="str">
        <f t="shared" ca="1" si="19"/>
        <v>Eligible</v>
      </c>
    </row>
    <row r="232" spans="1:15" x14ac:dyDescent="0.25">
      <c r="A232" t="s">
        <v>37</v>
      </c>
      <c r="B232">
        <v>50</v>
      </c>
      <c r="C232">
        <v>65000</v>
      </c>
      <c r="D232" t="s">
        <v>14</v>
      </c>
      <c r="E232" t="s">
        <v>10</v>
      </c>
      <c r="F232" t="s">
        <v>11</v>
      </c>
      <c r="G232" s="1">
        <v>43881</v>
      </c>
      <c r="H232" s="1" t="s">
        <v>17</v>
      </c>
      <c r="I232" s="1" t="s">
        <v>44</v>
      </c>
      <c r="J232" s="1" t="s">
        <v>22</v>
      </c>
      <c r="K232" s="4">
        <f t="shared" ca="1" si="15"/>
        <v>6.1</v>
      </c>
      <c r="L232" t="str">
        <f t="shared" si="16"/>
        <v>High</v>
      </c>
      <c r="M232" t="str">
        <f t="shared" si="17"/>
        <v>Low</v>
      </c>
      <c r="N232" t="str">
        <f t="shared" si="18"/>
        <v>PIP</v>
      </c>
      <c r="O232" t="str">
        <f t="shared" ca="1" si="19"/>
        <v>Not Eligible</v>
      </c>
    </row>
    <row r="233" spans="1:15" x14ac:dyDescent="0.25">
      <c r="A233" t="s">
        <v>42</v>
      </c>
      <c r="B233">
        <v>30</v>
      </c>
      <c r="C233">
        <v>60000</v>
      </c>
      <c r="D233" t="s">
        <v>9</v>
      </c>
      <c r="E233" t="s">
        <v>15</v>
      </c>
      <c r="F233" t="s">
        <v>11</v>
      </c>
      <c r="G233" s="1">
        <v>43881</v>
      </c>
      <c r="H233" s="1" t="s">
        <v>21</v>
      </c>
      <c r="I233" s="1" t="s">
        <v>18</v>
      </c>
      <c r="J233" s="1" t="s">
        <v>19</v>
      </c>
      <c r="K233" s="4">
        <f t="shared" ca="1" si="15"/>
        <v>6.1</v>
      </c>
      <c r="L233" t="str">
        <f t="shared" si="16"/>
        <v>Medium</v>
      </c>
      <c r="M233" t="str">
        <f t="shared" si="17"/>
        <v>Medium</v>
      </c>
      <c r="N233" t="str">
        <f t="shared" si="18"/>
        <v>No PIP</v>
      </c>
      <c r="O233" t="str">
        <f t="shared" ca="1" si="19"/>
        <v>Not Eligible</v>
      </c>
    </row>
    <row r="234" spans="1:15" x14ac:dyDescent="0.25">
      <c r="A234" t="s">
        <v>35</v>
      </c>
      <c r="B234">
        <v>35</v>
      </c>
      <c r="C234">
        <v>60000</v>
      </c>
      <c r="D234" t="s">
        <v>14</v>
      </c>
      <c r="E234" t="s">
        <v>20</v>
      </c>
      <c r="F234" t="s">
        <v>16</v>
      </c>
      <c r="G234" s="1">
        <v>43845</v>
      </c>
      <c r="H234" s="1" t="s">
        <v>21</v>
      </c>
      <c r="I234" s="1" t="s">
        <v>13</v>
      </c>
      <c r="J234" s="1" t="s">
        <v>22</v>
      </c>
      <c r="K234" s="4">
        <f t="shared" ca="1" si="15"/>
        <v>6.2</v>
      </c>
      <c r="L234" t="str">
        <f t="shared" si="16"/>
        <v>Medium</v>
      </c>
      <c r="M234" t="str">
        <f t="shared" si="17"/>
        <v>Medium</v>
      </c>
      <c r="N234" t="str">
        <f t="shared" si="18"/>
        <v>No PIP</v>
      </c>
      <c r="O234" t="str">
        <f t="shared" ca="1" si="19"/>
        <v>Not Eligible</v>
      </c>
    </row>
    <row r="235" spans="1:15" x14ac:dyDescent="0.25">
      <c r="A235" t="s">
        <v>33</v>
      </c>
      <c r="B235">
        <v>35</v>
      </c>
      <c r="C235">
        <v>60216</v>
      </c>
      <c r="D235" t="s">
        <v>14</v>
      </c>
      <c r="E235" t="s">
        <v>15</v>
      </c>
      <c r="F235" t="s">
        <v>11</v>
      </c>
      <c r="G235" s="1">
        <v>43845</v>
      </c>
      <c r="H235" s="1" t="s">
        <v>17</v>
      </c>
      <c r="I235" s="1" t="s">
        <v>25</v>
      </c>
      <c r="J235" s="1" t="s">
        <v>22</v>
      </c>
      <c r="K235" s="4">
        <f t="shared" ca="1" si="15"/>
        <v>6.2</v>
      </c>
      <c r="L235" t="str">
        <f t="shared" si="16"/>
        <v>Medium</v>
      </c>
      <c r="M235" t="str">
        <f t="shared" si="17"/>
        <v>Low</v>
      </c>
      <c r="N235" t="str">
        <f t="shared" si="18"/>
        <v>PIP</v>
      </c>
      <c r="O235" t="str">
        <f t="shared" ca="1" si="19"/>
        <v>Not Eligible</v>
      </c>
    </row>
    <row r="236" spans="1:15" x14ac:dyDescent="0.25">
      <c r="A236" t="s">
        <v>35</v>
      </c>
      <c r="B236">
        <v>40</v>
      </c>
      <c r="C236">
        <v>60000</v>
      </c>
      <c r="D236" t="s">
        <v>14</v>
      </c>
      <c r="E236" t="s">
        <v>27</v>
      </c>
      <c r="F236" t="s">
        <v>11</v>
      </c>
      <c r="G236" s="1">
        <v>43845</v>
      </c>
      <c r="H236" s="1" t="s">
        <v>21</v>
      </c>
      <c r="I236" s="1" t="s">
        <v>18</v>
      </c>
      <c r="J236" s="1" t="s">
        <v>19</v>
      </c>
      <c r="K236" s="4">
        <f t="shared" ca="1" si="15"/>
        <v>6.2</v>
      </c>
      <c r="L236" t="str">
        <f t="shared" si="16"/>
        <v>Medium</v>
      </c>
      <c r="M236" t="str">
        <f t="shared" si="17"/>
        <v>Medium</v>
      </c>
      <c r="N236" t="str">
        <f t="shared" si="18"/>
        <v>No PIP</v>
      </c>
      <c r="O236" t="str">
        <f t="shared" ca="1" si="19"/>
        <v>Not Eligible</v>
      </c>
    </row>
    <row r="237" spans="1:15" x14ac:dyDescent="0.25">
      <c r="A237" t="s">
        <v>40</v>
      </c>
      <c r="B237">
        <v>40</v>
      </c>
      <c r="C237">
        <v>55000</v>
      </c>
      <c r="D237" t="s">
        <v>14</v>
      </c>
      <c r="E237" t="s">
        <v>20</v>
      </c>
      <c r="F237" t="s">
        <v>30</v>
      </c>
      <c r="G237" s="1">
        <v>43845</v>
      </c>
      <c r="H237" s="1" t="s">
        <v>29</v>
      </c>
      <c r="I237" s="1" t="s">
        <v>44</v>
      </c>
      <c r="J237" s="1" t="s">
        <v>22</v>
      </c>
      <c r="K237" s="4">
        <f t="shared" ca="1" si="15"/>
        <v>6.2</v>
      </c>
      <c r="L237" t="str">
        <f t="shared" si="16"/>
        <v>Low</v>
      </c>
      <c r="M237" t="str">
        <f t="shared" si="17"/>
        <v>Medium</v>
      </c>
      <c r="N237" t="str">
        <f t="shared" si="18"/>
        <v>No PIP</v>
      </c>
      <c r="O237" t="str">
        <f t="shared" ca="1" si="19"/>
        <v>Not Eligible</v>
      </c>
    </row>
    <row r="238" spans="1:15" x14ac:dyDescent="0.25">
      <c r="A238" t="s">
        <v>36</v>
      </c>
      <c r="B238">
        <v>35</v>
      </c>
      <c r="C238">
        <v>50000</v>
      </c>
      <c r="D238" t="s">
        <v>14</v>
      </c>
      <c r="E238" t="s">
        <v>23</v>
      </c>
      <c r="F238" t="s">
        <v>28</v>
      </c>
      <c r="G238" s="1">
        <v>43845</v>
      </c>
      <c r="H238" s="1" t="s">
        <v>12</v>
      </c>
      <c r="I238" s="1" t="s">
        <v>13</v>
      </c>
      <c r="J238" s="1" t="s">
        <v>22</v>
      </c>
      <c r="K238" s="4">
        <f t="shared" ca="1" si="15"/>
        <v>6.2</v>
      </c>
      <c r="L238" t="str">
        <f t="shared" si="16"/>
        <v>Low</v>
      </c>
      <c r="M238" t="str">
        <f t="shared" si="17"/>
        <v>Low</v>
      </c>
      <c r="N238" t="str">
        <f t="shared" si="18"/>
        <v>PIP</v>
      </c>
      <c r="O238" t="str">
        <f t="shared" ca="1" si="19"/>
        <v>Not Eligible</v>
      </c>
    </row>
    <row r="239" spans="1:15" x14ac:dyDescent="0.25">
      <c r="A239" t="s">
        <v>39</v>
      </c>
      <c r="B239">
        <v>40</v>
      </c>
      <c r="C239">
        <v>70000</v>
      </c>
      <c r="D239" t="s">
        <v>26</v>
      </c>
      <c r="E239" t="s">
        <v>27</v>
      </c>
      <c r="F239" t="s">
        <v>16</v>
      </c>
      <c r="G239" s="1">
        <v>43845</v>
      </c>
      <c r="H239" s="1" t="s">
        <v>29</v>
      </c>
      <c r="I239" s="1" t="s">
        <v>13</v>
      </c>
      <c r="J239" s="1" t="s">
        <v>32</v>
      </c>
      <c r="K239" s="4">
        <f t="shared" ca="1" si="15"/>
        <v>6.2</v>
      </c>
      <c r="L239" t="str">
        <f t="shared" si="16"/>
        <v>High</v>
      </c>
      <c r="M239" t="str">
        <f t="shared" si="17"/>
        <v>Medium</v>
      </c>
      <c r="N239" t="str">
        <f t="shared" si="18"/>
        <v>No PIP</v>
      </c>
      <c r="O239" t="str">
        <f t="shared" ca="1" si="19"/>
        <v>Not Eligible</v>
      </c>
    </row>
    <row r="240" spans="1:15" x14ac:dyDescent="0.25">
      <c r="A240" t="s">
        <v>41</v>
      </c>
      <c r="B240">
        <v>30</v>
      </c>
      <c r="C240">
        <v>70000</v>
      </c>
      <c r="D240" t="s">
        <v>9</v>
      </c>
      <c r="E240" t="s">
        <v>20</v>
      </c>
      <c r="F240" t="s">
        <v>28</v>
      </c>
      <c r="G240" s="1">
        <v>43845</v>
      </c>
      <c r="H240" s="1" t="s">
        <v>29</v>
      </c>
      <c r="I240" s="1" t="s">
        <v>13</v>
      </c>
      <c r="J240" s="1" t="s">
        <v>19</v>
      </c>
      <c r="K240" s="4">
        <f t="shared" ca="1" si="15"/>
        <v>6.2</v>
      </c>
      <c r="L240" t="str">
        <f t="shared" si="16"/>
        <v>High</v>
      </c>
      <c r="M240" t="str">
        <f t="shared" si="17"/>
        <v>Medium</v>
      </c>
      <c r="N240" t="str">
        <f t="shared" si="18"/>
        <v>No PIP</v>
      </c>
      <c r="O240" t="str">
        <f t="shared" ca="1" si="19"/>
        <v>Not Eligible</v>
      </c>
    </row>
    <row r="241" spans="1:15" x14ac:dyDescent="0.25">
      <c r="A241" t="s">
        <v>36</v>
      </c>
      <c r="B241">
        <v>35</v>
      </c>
      <c r="C241">
        <v>60216</v>
      </c>
      <c r="D241" t="s">
        <v>14</v>
      </c>
      <c r="E241" t="s">
        <v>20</v>
      </c>
      <c r="F241" t="s">
        <v>16</v>
      </c>
      <c r="G241" s="1">
        <v>43845</v>
      </c>
      <c r="H241" s="1" t="s">
        <v>24</v>
      </c>
      <c r="I241" s="1" t="s">
        <v>13</v>
      </c>
      <c r="J241" s="1" t="s">
        <v>19</v>
      </c>
      <c r="K241" s="4">
        <f t="shared" ca="1" si="15"/>
        <v>6.2</v>
      </c>
      <c r="L241" t="str">
        <f t="shared" si="16"/>
        <v>Medium</v>
      </c>
      <c r="M241" t="str">
        <f t="shared" si="17"/>
        <v>High</v>
      </c>
      <c r="N241" t="str">
        <f t="shared" si="18"/>
        <v>No PIP</v>
      </c>
      <c r="O241" t="str">
        <f t="shared" ca="1" si="19"/>
        <v>Eligible</v>
      </c>
    </row>
    <row r="242" spans="1:15" x14ac:dyDescent="0.25">
      <c r="A242" t="s">
        <v>42</v>
      </c>
      <c r="B242">
        <v>35</v>
      </c>
      <c r="C242">
        <v>70000</v>
      </c>
      <c r="D242" t="s">
        <v>9</v>
      </c>
      <c r="E242" t="s">
        <v>23</v>
      </c>
      <c r="F242" t="s">
        <v>31</v>
      </c>
      <c r="G242" s="1">
        <v>43845</v>
      </c>
      <c r="H242" s="1" t="s">
        <v>24</v>
      </c>
      <c r="I242" s="1" t="s">
        <v>44</v>
      </c>
      <c r="J242" s="1" t="s">
        <v>32</v>
      </c>
      <c r="K242" s="4">
        <f t="shared" ca="1" si="15"/>
        <v>6.2</v>
      </c>
      <c r="L242" t="str">
        <f t="shared" si="16"/>
        <v>High</v>
      </c>
      <c r="M242" t="str">
        <f t="shared" si="17"/>
        <v>High</v>
      </c>
      <c r="N242" t="str">
        <f t="shared" si="18"/>
        <v>No PIP</v>
      </c>
      <c r="O242" t="str">
        <f t="shared" ca="1" si="19"/>
        <v>Eligible</v>
      </c>
    </row>
    <row r="243" spans="1:15" x14ac:dyDescent="0.25">
      <c r="A243" t="s">
        <v>41</v>
      </c>
      <c r="B243">
        <v>35</v>
      </c>
      <c r="C243">
        <v>65000</v>
      </c>
      <c r="D243" t="s">
        <v>26</v>
      </c>
      <c r="E243" t="s">
        <v>27</v>
      </c>
      <c r="F243" t="s">
        <v>11</v>
      </c>
      <c r="G243" s="1">
        <v>43845</v>
      </c>
      <c r="H243" s="1" t="s">
        <v>12</v>
      </c>
      <c r="I243" s="1" t="s">
        <v>44</v>
      </c>
      <c r="J243" s="1" t="s">
        <v>22</v>
      </c>
      <c r="K243" s="4">
        <f t="shared" ca="1" si="15"/>
        <v>6.2</v>
      </c>
      <c r="L243" t="str">
        <f t="shared" si="16"/>
        <v>High</v>
      </c>
      <c r="M243" t="str">
        <f t="shared" si="17"/>
        <v>Low</v>
      </c>
      <c r="N243" t="str">
        <f t="shared" si="18"/>
        <v>PIP</v>
      </c>
      <c r="O243" t="str">
        <f t="shared" ca="1" si="19"/>
        <v>Not Eligible</v>
      </c>
    </row>
    <row r="244" spans="1:15" x14ac:dyDescent="0.25">
      <c r="A244" t="s">
        <v>34</v>
      </c>
      <c r="B244">
        <v>30</v>
      </c>
      <c r="C244">
        <v>55000</v>
      </c>
      <c r="D244" t="s">
        <v>14</v>
      </c>
      <c r="E244" t="s">
        <v>27</v>
      </c>
      <c r="F244" t="s">
        <v>11</v>
      </c>
      <c r="G244" s="1">
        <v>43845</v>
      </c>
      <c r="H244" s="1" t="s">
        <v>21</v>
      </c>
      <c r="I244" s="1" t="s">
        <v>44</v>
      </c>
      <c r="J244" s="1" t="s">
        <v>22</v>
      </c>
      <c r="K244" s="4">
        <f t="shared" ca="1" si="15"/>
        <v>6.2</v>
      </c>
      <c r="L244" t="str">
        <f t="shared" si="16"/>
        <v>Low</v>
      </c>
      <c r="M244" t="str">
        <f t="shared" si="17"/>
        <v>Medium</v>
      </c>
      <c r="N244" t="str">
        <f t="shared" si="18"/>
        <v>No PIP</v>
      </c>
      <c r="O244" t="str">
        <f t="shared" ca="1" si="19"/>
        <v>Not Eligible</v>
      </c>
    </row>
    <row r="245" spans="1:15" x14ac:dyDescent="0.25">
      <c r="A245" t="s">
        <v>40</v>
      </c>
      <c r="B245">
        <v>35</v>
      </c>
      <c r="C245">
        <v>65000</v>
      </c>
      <c r="D245" t="s">
        <v>26</v>
      </c>
      <c r="E245" t="s">
        <v>10</v>
      </c>
      <c r="F245" t="s">
        <v>16</v>
      </c>
      <c r="G245" s="1">
        <v>43845</v>
      </c>
      <c r="H245" s="1" t="s">
        <v>12</v>
      </c>
      <c r="I245" s="1" t="s">
        <v>44</v>
      </c>
      <c r="J245" s="1" t="s">
        <v>44</v>
      </c>
      <c r="K245" s="4">
        <f t="shared" ca="1" si="15"/>
        <v>6.2</v>
      </c>
      <c r="L245" t="str">
        <f t="shared" si="16"/>
        <v>High</v>
      </c>
      <c r="M245" t="str">
        <f t="shared" si="17"/>
        <v>Low</v>
      </c>
      <c r="N245" t="str">
        <f t="shared" si="18"/>
        <v>PIP</v>
      </c>
      <c r="O245" t="str">
        <f t="shared" ca="1" si="19"/>
        <v>Not Eligible</v>
      </c>
    </row>
    <row r="246" spans="1:15" x14ac:dyDescent="0.25">
      <c r="A246" t="s">
        <v>33</v>
      </c>
      <c r="B246">
        <v>35</v>
      </c>
      <c r="C246">
        <v>60216</v>
      </c>
      <c r="D246" t="s">
        <v>26</v>
      </c>
      <c r="E246" t="s">
        <v>23</v>
      </c>
      <c r="F246" t="s">
        <v>31</v>
      </c>
      <c r="G246" s="1">
        <v>43845</v>
      </c>
      <c r="H246" s="1" t="s">
        <v>17</v>
      </c>
      <c r="I246" s="1" t="s">
        <v>13</v>
      </c>
      <c r="J246" s="1" t="s">
        <v>32</v>
      </c>
      <c r="K246" s="4">
        <f t="shared" ca="1" si="15"/>
        <v>6.2</v>
      </c>
      <c r="L246" t="str">
        <f t="shared" si="16"/>
        <v>Medium</v>
      </c>
      <c r="M246" t="str">
        <f t="shared" si="17"/>
        <v>Low</v>
      </c>
      <c r="N246" t="str">
        <f t="shared" si="18"/>
        <v>PIP</v>
      </c>
      <c r="O246" t="str">
        <f t="shared" ca="1" si="19"/>
        <v>Not Eligible</v>
      </c>
    </row>
    <row r="247" spans="1:15" x14ac:dyDescent="0.25">
      <c r="A247" t="s">
        <v>35</v>
      </c>
      <c r="B247">
        <v>25</v>
      </c>
      <c r="C247">
        <v>70000</v>
      </c>
      <c r="D247" t="s">
        <v>14</v>
      </c>
      <c r="E247" t="s">
        <v>10</v>
      </c>
      <c r="F247" t="s">
        <v>31</v>
      </c>
      <c r="G247" s="1">
        <v>43845</v>
      </c>
      <c r="H247" s="1" t="s">
        <v>12</v>
      </c>
      <c r="I247" s="1" t="s">
        <v>13</v>
      </c>
      <c r="J247" s="1" t="s">
        <v>44</v>
      </c>
      <c r="K247" s="4">
        <f t="shared" ca="1" si="15"/>
        <v>6.2</v>
      </c>
      <c r="L247" t="str">
        <f t="shared" si="16"/>
        <v>High</v>
      </c>
      <c r="M247" t="str">
        <f t="shared" si="17"/>
        <v>Low</v>
      </c>
      <c r="N247" t="str">
        <f t="shared" si="18"/>
        <v>PIP</v>
      </c>
      <c r="O247" t="str">
        <f t="shared" ca="1" si="19"/>
        <v>Not Eligible</v>
      </c>
    </row>
    <row r="248" spans="1:15" x14ac:dyDescent="0.25">
      <c r="A248" t="s">
        <v>35</v>
      </c>
      <c r="B248">
        <v>25</v>
      </c>
      <c r="C248">
        <v>55000</v>
      </c>
      <c r="D248" t="s">
        <v>9</v>
      </c>
      <c r="E248" t="s">
        <v>15</v>
      </c>
      <c r="F248" t="s">
        <v>30</v>
      </c>
      <c r="G248" s="1">
        <v>43845</v>
      </c>
      <c r="H248" s="1" t="s">
        <v>17</v>
      </c>
      <c r="I248" s="1" t="s">
        <v>44</v>
      </c>
      <c r="J248" s="1" t="s">
        <v>22</v>
      </c>
      <c r="K248" s="4">
        <f t="shared" ca="1" si="15"/>
        <v>6.2</v>
      </c>
      <c r="L248" t="str">
        <f t="shared" si="16"/>
        <v>Low</v>
      </c>
      <c r="M248" t="str">
        <f t="shared" si="17"/>
        <v>Low</v>
      </c>
      <c r="N248" t="str">
        <f t="shared" si="18"/>
        <v>PIP</v>
      </c>
      <c r="O248" t="str">
        <f t="shared" ca="1" si="19"/>
        <v>Not Eligible</v>
      </c>
    </row>
    <row r="249" spans="1:15" x14ac:dyDescent="0.25">
      <c r="A249" t="s">
        <v>38</v>
      </c>
      <c r="B249">
        <v>40</v>
      </c>
      <c r="C249">
        <v>70000</v>
      </c>
      <c r="D249" t="s">
        <v>9</v>
      </c>
      <c r="E249" t="s">
        <v>23</v>
      </c>
      <c r="F249" t="s">
        <v>16</v>
      </c>
      <c r="G249" s="1">
        <v>43845</v>
      </c>
      <c r="H249" s="1" t="s">
        <v>12</v>
      </c>
      <c r="I249" s="1" t="s">
        <v>13</v>
      </c>
      <c r="J249" s="1" t="s">
        <v>19</v>
      </c>
      <c r="K249" s="4">
        <f t="shared" ca="1" si="15"/>
        <v>6.2</v>
      </c>
      <c r="L249" t="str">
        <f t="shared" si="16"/>
        <v>High</v>
      </c>
      <c r="M249" t="str">
        <f t="shared" si="17"/>
        <v>Low</v>
      </c>
      <c r="N249" t="str">
        <f t="shared" si="18"/>
        <v>PIP</v>
      </c>
      <c r="O249" t="str">
        <f t="shared" ca="1" si="19"/>
        <v>Not Eligible</v>
      </c>
    </row>
    <row r="250" spans="1:15" x14ac:dyDescent="0.25">
      <c r="A250" t="s">
        <v>37</v>
      </c>
      <c r="B250">
        <v>40</v>
      </c>
      <c r="C250">
        <v>65000</v>
      </c>
      <c r="D250" t="s">
        <v>26</v>
      </c>
      <c r="E250" t="s">
        <v>20</v>
      </c>
      <c r="F250" t="s">
        <v>30</v>
      </c>
      <c r="G250" s="1">
        <v>43845</v>
      </c>
      <c r="H250" s="1" t="s">
        <v>24</v>
      </c>
      <c r="I250" s="1" t="s">
        <v>25</v>
      </c>
      <c r="J250" s="1" t="s">
        <v>19</v>
      </c>
      <c r="K250" s="4">
        <f t="shared" ca="1" si="15"/>
        <v>6.2</v>
      </c>
      <c r="L250" t="str">
        <f t="shared" si="16"/>
        <v>High</v>
      </c>
      <c r="M250" t="str">
        <f t="shared" si="17"/>
        <v>High</v>
      </c>
      <c r="N250" t="str">
        <f t="shared" si="18"/>
        <v>No PIP</v>
      </c>
      <c r="O250" t="str">
        <f t="shared" ca="1" si="19"/>
        <v>Eligible</v>
      </c>
    </row>
    <row r="251" spans="1:15" x14ac:dyDescent="0.25">
      <c r="A251" t="s">
        <v>37</v>
      </c>
      <c r="B251">
        <v>40</v>
      </c>
      <c r="C251">
        <v>60000</v>
      </c>
      <c r="D251" t="s">
        <v>26</v>
      </c>
      <c r="E251" t="s">
        <v>23</v>
      </c>
      <c r="F251" t="s">
        <v>28</v>
      </c>
      <c r="G251" s="1">
        <v>43845</v>
      </c>
      <c r="H251" s="1" t="s">
        <v>17</v>
      </c>
      <c r="I251" s="1" t="s">
        <v>44</v>
      </c>
      <c r="J251" s="1" t="s">
        <v>22</v>
      </c>
      <c r="K251" s="4">
        <f t="shared" ca="1" si="15"/>
        <v>6.2</v>
      </c>
      <c r="L251" t="str">
        <f t="shared" si="16"/>
        <v>Medium</v>
      </c>
      <c r="M251" t="str">
        <f t="shared" si="17"/>
        <v>Low</v>
      </c>
      <c r="N251" t="str">
        <f t="shared" si="18"/>
        <v>PIP</v>
      </c>
      <c r="O251" t="str">
        <f t="shared" ca="1" si="19"/>
        <v>Not Eligible</v>
      </c>
    </row>
    <row r="252" spans="1:15" x14ac:dyDescent="0.25">
      <c r="A252" t="s">
        <v>35</v>
      </c>
      <c r="B252">
        <v>25</v>
      </c>
      <c r="C252">
        <v>70000</v>
      </c>
      <c r="D252" t="s">
        <v>26</v>
      </c>
      <c r="E252" t="s">
        <v>15</v>
      </c>
      <c r="F252" t="s">
        <v>31</v>
      </c>
      <c r="G252" s="1">
        <v>43845</v>
      </c>
      <c r="H252" s="1" t="s">
        <v>17</v>
      </c>
      <c r="I252" s="1" t="s">
        <v>18</v>
      </c>
      <c r="J252" s="1" t="s">
        <v>44</v>
      </c>
      <c r="K252" s="4">
        <f t="shared" ca="1" si="15"/>
        <v>6.2</v>
      </c>
      <c r="L252" t="str">
        <f t="shared" si="16"/>
        <v>High</v>
      </c>
      <c r="M252" t="str">
        <f t="shared" si="17"/>
        <v>Low</v>
      </c>
      <c r="N252" t="str">
        <f t="shared" si="18"/>
        <v>PIP</v>
      </c>
      <c r="O252" t="str">
        <f t="shared" ca="1" si="19"/>
        <v>Not Eligible</v>
      </c>
    </row>
    <row r="253" spans="1:15" x14ac:dyDescent="0.25">
      <c r="A253" t="s">
        <v>41</v>
      </c>
      <c r="B253">
        <v>50</v>
      </c>
      <c r="C253">
        <v>55000</v>
      </c>
      <c r="D253" t="s">
        <v>14</v>
      </c>
      <c r="E253" t="s">
        <v>20</v>
      </c>
      <c r="F253" t="s">
        <v>28</v>
      </c>
      <c r="G253" s="1">
        <v>43845</v>
      </c>
      <c r="H253" s="1" t="s">
        <v>24</v>
      </c>
      <c r="I253" s="1" t="s">
        <v>44</v>
      </c>
      <c r="J253" s="1" t="s">
        <v>19</v>
      </c>
      <c r="K253" s="4">
        <f t="shared" ca="1" si="15"/>
        <v>6.2</v>
      </c>
      <c r="L253" t="str">
        <f t="shared" si="16"/>
        <v>Low</v>
      </c>
      <c r="M253" t="str">
        <f t="shared" si="17"/>
        <v>High</v>
      </c>
      <c r="N253" t="str">
        <f t="shared" si="18"/>
        <v>No PIP</v>
      </c>
      <c r="O253" t="str">
        <f t="shared" ca="1" si="19"/>
        <v>Eligible</v>
      </c>
    </row>
    <row r="254" spans="1:15" x14ac:dyDescent="0.25">
      <c r="A254" t="s">
        <v>36</v>
      </c>
      <c r="B254">
        <v>35</v>
      </c>
      <c r="C254">
        <v>65000</v>
      </c>
      <c r="D254" t="s">
        <v>26</v>
      </c>
      <c r="E254" t="s">
        <v>20</v>
      </c>
      <c r="F254" t="s">
        <v>16</v>
      </c>
      <c r="G254" s="1">
        <v>43845</v>
      </c>
      <c r="H254" s="1" t="s">
        <v>17</v>
      </c>
      <c r="I254" s="1" t="s">
        <v>25</v>
      </c>
      <c r="J254" s="1" t="s">
        <v>19</v>
      </c>
      <c r="K254" s="4">
        <f t="shared" ca="1" si="15"/>
        <v>6.2</v>
      </c>
      <c r="L254" t="str">
        <f t="shared" si="16"/>
        <v>High</v>
      </c>
      <c r="M254" t="str">
        <f t="shared" si="17"/>
        <v>Low</v>
      </c>
      <c r="N254" t="str">
        <f t="shared" si="18"/>
        <v>PIP</v>
      </c>
      <c r="O254" t="str">
        <f t="shared" ca="1" si="19"/>
        <v>Not Eligible</v>
      </c>
    </row>
    <row r="255" spans="1:15" x14ac:dyDescent="0.25">
      <c r="A255" t="s">
        <v>37</v>
      </c>
      <c r="B255">
        <v>30</v>
      </c>
      <c r="C255">
        <v>60000</v>
      </c>
      <c r="D255" t="s">
        <v>14</v>
      </c>
      <c r="E255" t="s">
        <v>15</v>
      </c>
      <c r="F255" t="s">
        <v>28</v>
      </c>
      <c r="G255" s="1">
        <v>43845</v>
      </c>
      <c r="H255" s="1" t="s">
        <v>24</v>
      </c>
      <c r="I255" s="1" t="s">
        <v>25</v>
      </c>
      <c r="J255" s="1" t="s">
        <v>19</v>
      </c>
      <c r="K255" s="4">
        <f t="shared" ca="1" si="15"/>
        <v>6.2</v>
      </c>
      <c r="L255" t="str">
        <f t="shared" si="16"/>
        <v>Medium</v>
      </c>
      <c r="M255" t="str">
        <f t="shared" si="17"/>
        <v>High</v>
      </c>
      <c r="N255" t="str">
        <f t="shared" si="18"/>
        <v>No PIP</v>
      </c>
      <c r="O255" t="str">
        <f t="shared" ca="1" si="19"/>
        <v>Eligible</v>
      </c>
    </row>
    <row r="256" spans="1:15" x14ac:dyDescent="0.25">
      <c r="A256" t="s">
        <v>38</v>
      </c>
      <c r="B256">
        <v>25</v>
      </c>
      <c r="C256">
        <v>65000</v>
      </c>
      <c r="D256" t="s">
        <v>14</v>
      </c>
      <c r="E256" t="s">
        <v>20</v>
      </c>
      <c r="F256" t="s">
        <v>11</v>
      </c>
      <c r="G256" s="1">
        <v>43845</v>
      </c>
      <c r="H256" s="1" t="s">
        <v>24</v>
      </c>
      <c r="I256" s="1" t="s">
        <v>44</v>
      </c>
      <c r="J256" s="1" t="s">
        <v>19</v>
      </c>
      <c r="K256" s="4">
        <f t="shared" ca="1" si="15"/>
        <v>6.2</v>
      </c>
      <c r="L256" t="str">
        <f t="shared" si="16"/>
        <v>High</v>
      </c>
      <c r="M256" t="str">
        <f t="shared" si="17"/>
        <v>High</v>
      </c>
      <c r="N256" t="str">
        <f t="shared" si="18"/>
        <v>No PIP</v>
      </c>
      <c r="O256" t="str">
        <f t="shared" ca="1" si="19"/>
        <v>Eligible</v>
      </c>
    </row>
    <row r="257" spans="1:15" x14ac:dyDescent="0.25">
      <c r="A257" t="s">
        <v>41</v>
      </c>
      <c r="B257">
        <v>30</v>
      </c>
      <c r="C257">
        <v>55000</v>
      </c>
      <c r="D257" t="s">
        <v>14</v>
      </c>
      <c r="E257" t="s">
        <v>27</v>
      </c>
      <c r="F257" t="s">
        <v>28</v>
      </c>
      <c r="G257" s="1">
        <v>43845</v>
      </c>
      <c r="H257" s="1" t="s">
        <v>21</v>
      </c>
      <c r="I257" s="1" t="s">
        <v>13</v>
      </c>
      <c r="J257" s="1" t="s">
        <v>44</v>
      </c>
      <c r="K257" s="4">
        <f t="shared" ca="1" si="15"/>
        <v>6.2</v>
      </c>
      <c r="L257" t="str">
        <f t="shared" si="16"/>
        <v>Low</v>
      </c>
      <c r="M257" t="str">
        <f t="shared" si="17"/>
        <v>Medium</v>
      </c>
      <c r="N257" t="str">
        <f t="shared" si="18"/>
        <v>No PIP</v>
      </c>
      <c r="O257" t="str">
        <f t="shared" ca="1" si="19"/>
        <v>Not Eligible</v>
      </c>
    </row>
    <row r="258" spans="1:15" x14ac:dyDescent="0.25">
      <c r="A258" t="s">
        <v>36</v>
      </c>
      <c r="B258">
        <v>25</v>
      </c>
      <c r="C258">
        <v>70000</v>
      </c>
      <c r="D258" t="s">
        <v>14</v>
      </c>
      <c r="E258" t="s">
        <v>15</v>
      </c>
      <c r="F258" t="s">
        <v>16</v>
      </c>
      <c r="G258" s="1">
        <v>43845</v>
      </c>
      <c r="H258" s="1" t="s">
        <v>29</v>
      </c>
      <c r="I258" s="1" t="s">
        <v>25</v>
      </c>
      <c r="J258" s="1" t="s">
        <v>32</v>
      </c>
      <c r="K258" s="4">
        <f t="shared" ca="1" si="15"/>
        <v>6.2</v>
      </c>
      <c r="L258" t="str">
        <f t="shared" si="16"/>
        <v>High</v>
      </c>
      <c r="M258" t="str">
        <f t="shared" si="17"/>
        <v>Medium</v>
      </c>
      <c r="N258" t="str">
        <f t="shared" si="18"/>
        <v>No PIP</v>
      </c>
      <c r="O258" t="str">
        <f t="shared" ca="1" si="19"/>
        <v>Not Eligible</v>
      </c>
    </row>
    <row r="259" spans="1:15" x14ac:dyDescent="0.25">
      <c r="A259" t="s">
        <v>33</v>
      </c>
      <c r="B259">
        <v>35</v>
      </c>
      <c r="C259">
        <v>55000</v>
      </c>
      <c r="D259" t="s">
        <v>14</v>
      </c>
      <c r="E259" t="s">
        <v>27</v>
      </c>
      <c r="F259" t="s">
        <v>31</v>
      </c>
      <c r="G259" s="1">
        <v>43845</v>
      </c>
      <c r="H259" s="1" t="s">
        <v>29</v>
      </c>
      <c r="I259" s="1" t="s">
        <v>13</v>
      </c>
      <c r="J259" s="1" t="s">
        <v>44</v>
      </c>
      <c r="K259" s="4">
        <f t="shared" ref="K259:K322" ca="1" si="20">ROUND((TODAY()-G259)/365,1)</f>
        <v>6.2</v>
      </c>
      <c r="L259" t="str">
        <f t="shared" ref="L259:L322" si="21">IF(C259&lt;60000,"Low", IF(C259&lt;65000,"Medium","High"))</f>
        <v>Low</v>
      </c>
      <c r="M259" t="str">
        <f t="shared" ref="M259:M322" si="22">IF(H259="A","High",IF(OR(H259="B",H259="C"),"Medium","Low"))</f>
        <v>Medium</v>
      </c>
      <c r="N259" t="str">
        <f t="shared" ref="N259:N322" si="23">IF(M259="Low","PIP","No PIP")</f>
        <v>No PIP</v>
      </c>
      <c r="O259" t="str">
        <f t="shared" ref="O259:O322" ca="1" si="24">IF(AND(M259="High",K259&gt;3),"Eligible","Not Eligible")</f>
        <v>Not Eligible</v>
      </c>
    </row>
    <row r="260" spans="1:15" x14ac:dyDescent="0.25">
      <c r="A260" t="s">
        <v>36</v>
      </c>
      <c r="B260">
        <v>35</v>
      </c>
      <c r="C260">
        <v>55000</v>
      </c>
      <c r="D260" t="s">
        <v>14</v>
      </c>
      <c r="E260" t="s">
        <v>27</v>
      </c>
      <c r="F260" t="s">
        <v>16</v>
      </c>
      <c r="G260" s="1">
        <v>43845</v>
      </c>
      <c r="H260" s="1" t="s">
        <v>12</v>
      </c>
      <c r="I260" s="1" t="s">
        <v>44</v>
      </c>
      <c r="J260" s="1" t="s">
        <v>44</v>
      </c>
      <c r="K260" s="4">
        <f t="shared" ca="1" si="20"/>
        <v>6.2</v>
      </c>
      <c r="L260" t="str">
        <f t="shared" si="21"/>
        <v>Low</v>
      </c>
      <c r="M260" t="str">
        <f t="shared" si="22"/>
        <v>Low</v>
      </c>
      <c r="N260" t="str">
        <f t="shared" si="23"/>
        <v>PIP</v>
      </c>
      <c r="O260" t="str">
        <f t="shared" ca="1" si="24"/>
        <v>Not Eligible</v>
      </c>
    </row>
    <row r="261" spans="1:15" x14ac:dyDescent="0.25">
      <c r="A261" t="s">
        <v>37</v>
      </c>
      <c r="B261">
        <v>50</v>
      </c>
      <c r="C261">
        <v>65000</v>
      </c>
      <c r="D261" t="s">
        <v>14</v>
      </c>
      <c r="E261" t="s">
        <v>10</v>
      </c>
      <c r="F261" t="s">
        <v>30</v>
      </c>
      <c r="G261" s="1">
        <v>43845</v>
      </c>
      <c r="H261" s="1" t="s">
        <v>17</v>
      </c>
      <c r="I261" s="1" t="s">
        <v>44</v>
      </c>
      <c r="J261" s="1" t="s">
        <v>22</v>
      </c>
      <c r="K261" s="4">
        <f t="shared" ca="1" si="20"/>
        <v>6.2</v>
      </c>
      <c r="L261" t="str">
        <f t="shared" si="21"/>
        <v>High</v>
      </c>
      <c r="M261" t="str">
        <f t="shared" si="22"/>
        <v>Low</v>
      </c>
      <c r="N261" t="str">
        <f t="shared" si="23"/>
        <v>PIP</v>
      </c>
      <c r="O261" t="str">
        <f t="shared" ca="1" si="24"/>
        <v>Not Eligible</v>
      </c>
    </row>
    <row r="262" spans="1:15" x14ac:dyDescent="0.25">
      <c r="A262" t="s">
        <v>41</v>
      </c>
      <c r="B262">
        <v>40</v>
      </c>
      <c r="C262">
        <v>50000</v>
      </c>
      <c r="D262" t="s">
        <v>9</v>
      </c>
      <c r="E262" t="s">
        <v>27</v>
      </c>
      <c r="F262" t="s">
        <v>31</v>
      </c>
      <c r="G262" s="1">
        <v>43845</v>
      </c>
      <c r="H262" s="1" t="s">
        <v>21</v>
      </c>
      <c r="I262" s="1" t="s">
        <v>18</v>
      </c>
      <c r="J262" s="1" t="s">
        <v>22</v>
      </c>
      <c r="K262" s="4">
        <f t="shared" ca="1" si="20"/>
        <v>6.2</v>
      </c>
      <c r="L262" t="str">
        <f t="shared" si="21"/>
        <v>Low</v>
      </c>
      <c r="M262" t="str">
        <f t="shared" si="22"/>
        <v>Medium</v>
      </c>
      <c r="N262" t="str">
        <f t="shared" si="23"/>
        <v>No PIP</v>
      </c>
      <c r="O262" t="str">
        <f t="shared" ca="1" si="24"/>
        <v>Not Eligible</v>
      </c>
    </row>
    <row r="263" spans="1:15" x14ac:dyDescent="0.25">
      <c r="A263" t="s">
        <v>42</v>
      </c>
      <c r="B263">
        <v>40</v>
      </c>
      <c r="C263">
        <v>70000</v>
      </c>
      <c r="D263" t="s">
        <v>26</v>
      </c>
      <c r="E263" t="s">
        <v>15</v>
      </c>
      <c r="F263" t="s">
        <v>30</v>
      </c>
      <c r="G263" s="1">
        <v>43845</v>
      </c>
      <c r="H263" s="1" t="s">
        <v>24</v>
      </c>
      <c r="I263" s="1" t="s">
        <v>18</v>
      </c>
      <c r="J263" s="1" t="s">
        <v>44</v>
      </c>
      <c r="K263" s="4">
        <f t="shared" ca="1" si="20"/>
        <v>6.2</v>
      </c>
      <c r="L263" t="str">
        <f t="shared" si="21"/>
        <v>High</v>
      </c>
      <c r="M263" t="str">
        <f t="shared" si="22"/>
        <v>High</v>
      </c>
      <c r="N263" t="str">
        <f t="shared" si="23"/>
        <v>No PIP</v>
      </c>
      <c r="O263" t="str">
        <f t="shared" ca="1" si="24"/>
        <v>Eligible</v>
      </c>
    </row>
    <row r="264" spans="1:15" x14ac:dyDescent="0.25">
      <c r="A264" t="s">
        <v>42</v>
      </c>
      <c r="B264">
        <v>30</v>
      </c>
      <c r="C264">
        <v>60000</v>
      </c>
      <c r="D264" t="s">
        <v>26</v>
      </c>
      <c r="E264" t="s">
        <v>10</v>
      </c>
      <c r="F264" t="s">
        <v>11</v>
      </c>
      <c r="G264" s="1">
        <v>43845</v>
      </c>
      <c r="H264" s="1" t="s">
        <v>21</v>
      </c>
      <c r="I264" s="1" t="s">
        <v>18</v>
      </c>
      <c r="J264" s="1" t="s">
        <v>44</v>
      </c>
      <c r="K264" s="4">
        <f t="shared" ca="1" si="20"/>
        <v>6.2</v>
      </c>
      <c r="L264" t="str">
        <f t="shared" si="21"/>
        <v>Medium</v>
      </c>
      <c r="M264" t="str">
        <f t="shared" si="22"/>
        <v>Medium</v>
      </c>
      <c r="N264" t="str">
        <f t="shared" si="23"/>
        <v>No PIP</v>
      </c>
      <c r="O264" t="str">
        <f t="shared" ca="1" si="24"/>
        <v>Not Eligible</v>
      </c>
    </row>
    <row r="265" spans="1:15" x14ac:dyDescent="0.25">
      <c r="A265" t="s">
        <v>35</v>
      </c>
      <c r="B265">
        <v>35</v>
      </c>
      <c r="C265">
        <v>70000</v>
      </c>
      <c r="D265" t="s">
        <v>9</v>
      </c>
      <c r="E265" t="s">
        <v>27</v>
      </c>
      <c r="F265" t="s">
        <v>28</v>
      </c>
      <c r="G265" s="1">
        <v>43845</v>
      </c>
      <c r="H265" s="1" t="s">
        <v>24</v>
      </c>
      <c r="I265" s="1" t="s">
        <v>18</v>
      </c>
      <c r="J265" s="1" t="s">
        <v>19</v>
      </c>
      <c r="K265" s="4">
        <f t="shared" ca="1" si="20"/>
        <v>6.2</v>
      </c>
      <c r="L265" t="str">
        <f t="shared" si="21"/>
        <v>High</v>
      </c>
      <c r="M265" t="str">
        <f t="shared" si="22"/>
        <v>High</v>
      </c>
      <c r="N265" t="str">
        <f t="shared" si="23"/>
        <v>No PIP</v>
      </c>
      <c r="O265" t="str">
        <f t="shared" ca="1" si="24"/>
        <v>Eligible</v>
      </c>
    </row>
    <row r="266" spans="1:15" x14ac:dyDescent="0.25">
      <c r="A266" t="s">
        <v>37</v>
      </c>
      <c r="B266">
        <v>35</v>
      </c>
      <c r="C266">
        <v>50000</v>
      </c>
      <c r="D266" t="s">
        <v>9</v>
      </c>
      <c r="E266" t="s">
        <v>15</v>
      </c>
      <c r="F266" t="s">
        <v>30</v>
      </c>
      <c r="G266" s="1">
        <v>43845</v>
      </c>
      <c r="H266" s="1" t="s">
        <v>12</v>
      </c>
      <c r="I266" s="1" t="s">
        <v>25</v>
      </c>
      <c r="J266" s="1" t="s">
        <v>44</v>
      </c>
      <c r="K266" s="4">
        <f t="shared" ca="1" si="20"/>
        <v>6.2</v>
      </c>
      <c r="L266" t="str">
        <f t="shared" si="21"/>
        <v>Low</v>
      </c>
      <c r="M266" t="str">
        <f t="shared" si="22"/>
        <v>Low</v>
      </c>
      <c r="N266" t="str">
        <f t="shared" si="23"/>
        <v>PIP</v>
      </c>
      <c r="O266" t="str">
        <f t="shared" ca="1" si="24"/>
        <v>Not Eligible</v>
      </c>
    </row>
    <row r="267" spans="1:15" x14ac:dyDescent="0.25">
      <c r="A267" t="s">
        <v>39</v>
      </c>
      <c r="B267">
        <v>30</v>
      </c>
      <c r="C267">
        <v>55000</v>
      </c>
      <c r="D267" t="s">
        <v>9</v>
      </c>
      <c r="E267" t="s">
        <v>10</v>
      </c>
      <c r="F267" t="s">
        <v>31</v>
      </c>
      <c r="G267" s="1">
        <v>43845</v>
      </c>
      <c r="H267" s="1" t="s">
        <v>12</v>
      </c>
      <c r="I267" s="1" t="s">
        <v>25</v>
      </c>
      <c r="J267" s="1" t="s">
        <v>44</v>
      </c>
      <c r="K267" s="4">
        <f t="shared" ca="1" si="20"/>
        <v>6.2</v>
      </c>
      <c r="L267" t="str">
        <f t="shared" si="21"/>
        <v>Low</v>
      </c>
      <c r="M267" t="str">
        <f t="shared" si="22"/>
        <v>Low</v>
      </c>
      <c r="N267" t="str">
        <f t="shared" si="23"/>
        <v>PIP</v>
      </c>
      <c r="O267" t="str">
        <f t="shared" ca="1" si="24"/>
        <v>Not Eligible</v>
      </c>
    </row>
    <row r="268" spans="1:15" x14ac:dyDescent="0.25">
      <c r="A268" t="s">
        <v>35</v>
      </c>
      <c r="B268">
        <v>25</v>
      </c>
      <c r="C268">
        <v>50000</v>
      </c>
      <c r="D268" t="s">
        <v>14</v>
      </c>
      <c r="E268" t="s">
        <v>10</v>
      </c>
      <c r="F268" t="s">
        <v>31</v>
      </c>
      <c r="G268" s="1">
        <v>43845</v>
      </c>
      <c r="H268" s="1" t="s">
        <v>17</v>
      </c>
      <c r="I268" s="1" t="s">
        <v>44</v>
      </c>
      <c r="J268" s="1" t="s">
        <v>32</v>
      </c>
      <c r="K268" s="4">
        <f t="shared" ca="1" si="20"/>
        <v>6.2</v>
      </c>
      <c r="L268" t="str">
        <f t="shared" si="21"/>
        <v>Low</v>
      </c>
      <c r="M268" t="str">
        <f t="shared" si="22"/>
        <v>Low</v>
      </c>
      <c r="N268" t="str">
        <f t="shared" si="23"/>
        <v>PIP</v>
      </c>
      <c r="O268" t="str">
        <f t="shared" ca="1" si="24"/>
        <v>Not Eligible</v>
      </c>
    </row>
    <row r="269" spans="1:15" x14ac:dyDescent="0.25">
      <c r="A269" t="s">
        <v>41</v>
      </c>
      <c r="B269">
        <v>35</v>
      </c>
      <c r="C269">
        <v>50000</v>
      </c>
      <c r="D269" t="s">
        <v>9</v>
      </c>
      <c r="E269" t="s">
        <v>20</v>
      </c>
      <c r="F269" t="s">
        <v>31</v>
      </c>
      <c r="G269" s="1">
        <v>43845</v>
      </c>
      <c r="H269" s="1" t="s">
        <v>21</v>
      </c>
      <c r="I269" s="1" t="s">
        <v>44</v>
      </c>
      <c r="J269" s="1" t="s">
        <v>44</v>
      </c>
      <c r="K269" s="4">
        <f t="shared" ca="1" si="20"/>
        <v>6.2</v>
      </c>
      <c r="L269" t="str">
        <f t="shared" si="21"/>
        <v>Low</v>
      </c>
      <c r="M269" t="str">
        <f t="shared" si="22"/>
        <v>Medium</v>
      </c>
      <c r="N269" t="str">
        <f t="shared" si="23"/>
        <v>No PIP</v>
      </c>
      <c r="O269" t="str">
        <f t="shared" ca="1" si="24"/>
        <v>Not Eligible</v>
      </c>
    </row>
    <row r="270" spans="1:15" x14ac:dyDescent="0.25">
      <c r="A270" t="s">
        <v>40</v>
      </c>
      <c r="B270">
        <v>35</v>
      </c>
      <c r="C270">
        <v>55000</v>
      </c>
      <c r="D270" t="s">
        <v>9</v>
      </c>
      <c r="E270" t="s">
        <v>20</v>
      </c>
      <c r="F270" t="s">
        <v>30</v>
      </c>
      <c r="G270" s="1">
        <v>43845</v>
      </c>
      <c r="H270" s="1" t="s">
        <v>24</v>
      </c>
      <c r="I270" s="1" t="s">
        <v>44</v>
      </c>
      <c r="J270" s="1" t="s">
        <v>44</v>
      </c>
      <c r="K270" s="4">
        <f t="shared" ca="1" si="20"/>
        <v>6.2</v>
      </c>
      <c r="L270" t="str">
        <f t="shared" si="21"/>
        <v>Low</v>
      </c>
      <c r="M270" t="str">
        <f t="shared" si="22"/>
        <v>High</v>
      </c>
      <c r="N270" t="str">
        <f t="shared" si="23"/>
        <v>No PIP</v>
      </c>
      <c r="O270" t="str">
        <f t="shared" ca="1" si="24"/>
        <v>Eligible</v>
      </c>
    </row>
    <row r="271" spans="1:15" x14ac:dyDescent="0.25">
      <c r="A271" t="s">
        <v>35</v>
      </c>
      <c r="B271">
        <v>25</v>
      </c>
      <c r="C271">
        <v>50000</v>
      </c>
      <c r="D271" t="s">
        <v>26</v>
      </c>
      <c r="E271" t="s">
        <v>23</v>
      </c>
      <c r="F271" t="s">
        <v>31</v>
      </c>
      <c r="G271" s="1">
        <v>43845</v>
      </c>
      <c r="H271" s="1" t="s">
        <v>29</v>
      </c>
      <c r="I271" s="1" t="s">
        <v>25</v>
      </c>
      <c r="J271" s="1" t="s">
        <v>44</v>
      </c>
      <c r="K271" s="4">
        <f t="shared" ca="1" si="20"/>
        <v>6.2</v>
      </c>
      <c r="L271" t="str">
        <f t="shared" si="21"/>
        <v>Low</v>
      </c>
      <c r="M271" t="str">
        <f t="shared" si="22"/>
        <v>Medium</v>
      </c>
      <c r="N271" t="str">
        <f t="shared" si="23"/>
        <v>No PIP</v>
      </c>
      <c r="O271" t="str">
        <f t="shared" ca="1" si="24"/>
        <v>Not Eligible</v>
      </c>
    </row>
    <row r="272" spans="1:15" x14ac:dyDescent="0.25">
      <c r="A272" t="s">
        <v>40</v>
      </c>
      <c r="B272">
        <v>35</v>
      </c>
      <c r="C272">
        <v>55000</v>
      </c>
      <c r="D272" t="s">
        <v>14</v>
      </c>
      <c r="E272" t="s">
        <v>15</v>
      </c>
      <c r="F272" t="s">
        <v>30</v>
      </c>
      <c r="G272" s="1">
        <v>43845</v>
      </c>
      <c r="H272" s="1" t="s">
        <v>24</v>
      </c>
      <c r="I272" s="1" t="s">
        <v>44</v>
      </c>
      <c r="J272" s="1" t="s">
        <v>44</v>
      </c>
      <c r="K272" s="4">
        <f t="shared" ca="1" si="20"/>
        <v>6.2</v>
      </c>
      <c r="L272" t="str">
        <f t="shared" si="21"/>
        <v>Low</v>
      </c>
      <c r="M272" t="str">
        <f t="shared" si="22"/>
        <v>High</v>
      </c>
      <c r="N272" t="str">
        <f t="shared" si="23"/>
        <v>No PIP</v>
      </c>
      <c r="O272" t="str">
        <f t="shared" ca="1" si="24"/>
        <v>Eligible</v>
      </c>
    </row>
    <row r="273" spans="1:15" x14ac:dyDescent="0.25">
      <c r="A273" t="s">
        <v>38</v>
      </c>
      <c r="B273">
        <v>30</v>
      </c>
      <c r="C273">
        <v>65000</v>
      </c>
      <c r="D273" t="s">
        <v>9</v>
      </c>
      <c r="E273" t="s">
        <v>27</v>
      </c>
      <c r="F273" t="s">
        <v>31</v>
      </c>
      <c r="G273" s="1">
        <v>43845</v>
      </c>
      <c r="H273" s="1" t="s">
        <v>24</v>
      </c>
      <c r="I273" s="1" t="s">
        <v>44</v>
      </c>
      <c r="J273" s="1" t="s">
        <v>44</v>
      </c>
      <c r="K273" s="4">
        <f t="shared" ca="1" si="20"/>
        <v>6.2</v>
      </c>
      <c r="L273" t="str">
        <f t="shared" si="21"/>
        <v>High</v>
      </c>
      <c r="M273" t="str">
        <f t="shared" si="22"/>
        <v>High</v>
      </c>
      <c r="N273" t="str">
        <f t="shared" si="23"/>
        <v>No PIP</v>
      </c>
      <c r="O273" t="str">
        <f t="shared" ca="1" si="24"/>
        <v>Eligible</v>
      </c>
    </row>
    <row r="274" spans="1:15" x14ac:dyDescent="0.25">
      <c r="A274" t="s">
        <v>36</v>
      </c>
      <c r="B274">
        <v>35</v>
      </c>
      <c r="C274">
        <v>50000</v>
      </c>
      <c r="D274" t="s">
        <v>9</v>
      </c>
      <c r="E274" t="s">
        <v>20</v>
      </c>
      <c r="F274" t="s">
        <v>11</v>
      </c>
      <c r="G274" s="1">
        <v>43845</v>
      </c>
      <c r="H274" s="1" t="s">
        <v>29</v>
      </c>
      <c r="I274" s="1" t="s">
        <v>25</v>
      </c>
      <c r="J274" s="1" t="s">
        <v>22</v>
      </c>
      <c r="K274" s="4">
        <f t="shared" ca="1" si="20"/>
        <v>6.2</v>
      </c>
      <c r="L274" t="str">
        <f t="shared" si="21"/>
        <v>Low</v>
      </c>
      <c r="M274" t="str">
        <f t="shared" si="22"/>
        <v>Medium</v>
      </c>
      <c r="N274" t="str">
        <f t="shared" si="23"/>
        <v>No PIP</v>
      </c>
      <c r="O274" t="str">
        <f t="shared" ca="1" si="24"/>
        <v>Not Eligible</v>
      </c>
    </row>
    <row r="275" spans="1:15" x14ac:dyDescent="0.25">
      <c r="A275" t="s">
        <v>39</v>
      </c>
      <c r="B275">
        <v>25</v>
      </c>
      <c r="C275">
        <v>50000</v>
      </c>
      <c r="D275" t="s">
        <v>26</v>
      </c>
      <c r="E275" t="s">
        <v>23</v>
      </c>
      <c r="F275" t="s">
        <v>30</v>
      </c>
      <c r="G275" s="1">
        <v>43845</v>
      </c>
      <c r="H275" s="1" t="s">
        <v>21</v>
      </c>
      <c r="I275" s="1" t="s">
        <v>44</v>
      </c>
      <c r="J275" s="1" t="s">
        <v>44</v>
      </c>
      <c r="K275" s="4">
        <f t="shared" ca="1" si="20"/>
        <v>6.2</v>
      </c>
      <c r="L275" t="str">
        <f t="shared" si="21"/>
        <v>Low</v>
      </c>
      <c r="M275" t="str">
        <f t="shared" si="22"/>
        <v>Medium</v>
      </c>
      <c r="N275" t="str">
        <f t="shared" si="23"/>
        <v>No PIP</v>
      </c>
      <c r="O275" t="str">
        <f t="shared" ca="1" si="24"/>
        <v>Not Eligible</v>
      </c>
    </row>
    <row r="276" spans="1:15" x14ac:dyDescent="0.25">
      <c r="A276" t="s">
        <v>33</v>
      </c>
      <c r="B276">
        <v>25</v>
      </c>
      <c r="C276">
        <v>60000</v>
      </c>
      <c r="D276" t="s">
        <v>14</v>
      </c>
      <c r="E276" t="s">
        <v>10</v>
      </c>
      <c r="F276" t="s">
        <v>30</v>
      </c>
      <c r="G276" s="1">
        <v>43845</v>
      </c>
      <c r="H276" s="1" t="s">
        <v>17</v>
      </c>
      <c r="I276" s="1" t="s">
        <v>44</v>
      </c>
      <c r="J276" s="1" t="s">
        <v>32</v>
      </c>
      <c r="K276" s="4">
        <f t="shared" ca="1" si="20"/>
        <v>6.2</v>
      </c>
      <c r="L276" t="str">
        <f t="shared" si="21"/>
        <v>Medium</v>
      </c>
      <c r="M276" t="str">
        <f t="shared" si="22"/>
        <v>Low</v>
      </c>
      <c r="N276" t="str">
        <f t="shared" si="23"/>
        <v>PIP</v>
      </c>
      <c r="O276" t="str">
        <f t="shared" ca="1" si="24"/>
        <v>Not Eligible</v>
      </c>
    </row>
    <row r="277" spans="1:15" x14ac:dyDescent="0.25">
      <c r="A277" t="s">
        <v>41</v>
      </c>
      <c r="B277">
        <v>25</v>
      </c>
      <c r="C277">
        <v>60000</v>
      </c>
      <c r="D277" t="s">
        <v>26</v>
      </c>
      <c r="E277" t="s">
        <v>15</v>
      </c>
      <c r="F277" t="s">
        <v>31</v>
      </c>
      <c r="G277" s="1">
        <v>43845</v>
      </c>
      <c r="H277" s="1" t="s">
        <v>24</v>
      </c>
      <c r="I277" s="1" t="s">
        <v>18</v>
      </c>
      <c r="J277" s="1" t="s">
        <v>44</v>
      </c>
      <c r="K277" s="4">
        <f t="shared" ca="1" si="20"/>
        <v>6.2</v>
      </c>
      <c r="L277" t="str">
        <f t="shared" si="21"/>
        <v>Medium</v>
      </c>
      <c r="M277" t="str">
        <f t="shared" si="22"/>
        <v>High</v>
      </c>
      <c r="N277" t="str">
        <f t="shared" si="23"/>
        <v>No PIP</v>
      </c>
      <c r="O277" t="str">
        <f t="shared" ca="1" si="24"/>
        <v>Eligible</v>
      </c>
    </row>
    <row r="278" spans="1:15" x14ac:dyDescent="0.25">
      <c r="A278" t="s">
        <v>38</v>
      </c>
      <c r="B278">
        <v>30</v>
      </c>
      <c r="C278">
        <v>55000</v>
      </c>
      <c r="D278" t="s">
        <v>9</v>
      </c>
      <c r="E278" t="s">
        <v>15</v>
      </c>
      <c r="F278" t="s">
        <v>30</v>
      </c>
      <c r="G278" s="1">
        <v>43845</v>
      </c>
      <c r="H278" s="1" t="s">
        <v>29</v>
      </c>
      <c r="I278" s="1" t="s">
        <v>25</v>
      </c>
      <c r="J278" s="1" t="s">
        <v>19</v>
      </c>
      <c r="K278" s="4">
        <f t="shared" ca="1" si="20"/>
        <v>6.2</v>
      </c>
      <c r="L278" t="str">
        <f t="shared" si="21"/>
        <v>Low</v>
      </c>
      <c r="M278" t="str">
        <f t="shared" si="22"/>
        <v>Medium</v>
      </c>
      <c r="N278" t="str">
        <f t="shared" si="23"/>
        <v>No PIP</v>
      </c>
      <c r="O278" t="str">
        <f t="shared" ca="1" si="24"/>
        <v>Not Eligible</v>
      </c>
    </row>
    <row r="279" spans="1:15" x14ac:dyDescent="0.25">
      <c r="A279" t="s">
        <v>38</v>
      </c>
      <c r="B279">
        <v>35</v>
      </c>
      <c r="C279">
        <v>70000</v>
      </c>
      <c r="D279" t="s">
        <v>26</v>
      </c>
      <c r="E279" t="s">
        <v>10</v>
      </c>
      <c r="F279" t="s">
        <v>16</v>
      </c>
      <c r="G279" s="1">
        <v>43845</v>
      </c>
      <c r="H279" s="1" t="s">
        <v>21</v>
      </c>
      <c r="I279" s="1" t="s">
        <v>25</v>
      </c>
      <c r="J279" s="1" t="s">
        <v>32</v>
      </c>
      <c r="K279" s="4">
        <f t="shared" ca="1" si="20"/>
        <v>6.2</v>
      </c>
      <c r="L279" t="str">
        <f t="shared" si="21"/>
        <v>High</v>
      </c>
      <c r="M279" t="str">
        <f t="shared" si="22"/>
        <v>Medium</v>
      </c>
      <c r="N279" t="str">
        <f t="shared" si="23"/>
        <v>No PIP</v>
      </c>
      <c r="O279" t="str">
        <f t="shared" ca="1" si="24"/>
        <v>Not Eligible</v>
      </c>
    </row>
    <row r="280" spans="1:15" x14ac:dyDescent="0.25">
      <c r="A280" t="s">
        <v>40</v>
      </c>
      <c r="B280">
        <v>35</v>
      </c>
      <c r="C280">
        <v>70000</v>
      </c>
      <c r="D280" t="s">
        <v>9</v>
      </c>
      <c r="E280" t="s">
        <v>10</v>
      </c>
      <c r="F280" t="s">
        <v>30</v>
      </c>
      <c r="G280" s="1">
        <v>43845</v>
      </c>
      <c r="H280" s="1" t="s">
        <v>12</v>
      </c>
      <c r="I280" s="1" t="s">
        <v>44</v>
      </c>
      <c r="J280" s="1" t="s">
        <v>32</v>
      </c>
      <c r="K280" s="4">
        <f t="shared" ca="1" si="20"/>
        <v>6.2</v>
      </c>
      <c r="L280" t="str">
        <f t="shared" si="21"/>
        <v>High</v>
      </c>
      <c r="M280" t="str">
        <f t="shared" si="22"/>
        <v>Low</v>
      </c>
      <c r="N280" t="str">
        <f t="shared" si="23"/>
        <v>PIP</v>
      </c>
      <c r="O280" t="str">
        <f t="shared" ca="1" si="24"/>
        <v>Not Eligible</v>
      </c>
    </row>
    <row r="281" spans="1:15" x14ac:dyDescent="0.25">
      <c r="A281" t="s">
        <v>40</v>
      </c>
      <c r="B281">
        <v>30</v>
      </c>
      <c r="C281">
        <v>65000</v>
      </c>
      <c r="D281" t="s">
        <v>14</v>
      </c>
      <c r="E281" t="s">
        <v>15</v>
      </c>
      <c r="F281" t="s">
        <v>31</v>
      </c>
      <c r="G281" s="1">
        <v>43845</v>
      </c>
      <c r="H281" s="1" t="s">
        <v>12</v>
      </c>
      <c r="I281" s="1" t="s">
        <v>13</v>
      </c>
      <c r="J281" s="1" t="s">
        <v>22</v>
      </c>
      <c r="K281" s="4">
        <f t="shared" ca="1" si="20"/>
        <v>6.2</v>
      </c>
      <c r="L281" t="str">
        <f t="shared" si="21"/>
        <v>High</v>
      </c>
      <c r="M281" t="str">
        <f t="shared" si="22"/>
        <v>Low</v>
      </c>
      <c r="N281" t="str">
        <f t="shared" si="23"/>
        <v>PIP</v>
      </c>
      <c r="O281" t="str">
        <f t="shared" ca="1" si="24"/>
        <v>Not Eligible</v>
      </c>
    </row>
    <row r="282" spans="1:15" x14ac:dyDescent="0.25">
      <c r="A282" t="s">
        <v>33</v>
      </c>
      <c r="B282">
        <v>40</v>
      </c>
      <c r="C282">
        <v>55000</v>
      </c>
      <c r="D282" t="s">
        <v>9</v>
      </c>
      <c r="E282" t="s">
        <v>20</v>
      </c>
      <c r="F282" t="s">
        <v>28</v>
      </c>
      <c r="G282" s="1">
        <v>43845</v>
      </c>
      <c r="H282" s="1" t="s">
        <v>29</v>
      </c>
      <c r="I282" s="1" t="s">
        <v>44</v>
      </c>
      <c r="J282" s="1" t="s">
        <v>44</v>
      </c>
      <c r="K282" s="4">
        <f t="shared" ca="1" si="20"/>
        <v>6.2</v>
      </c>
      <c r="L282" t="str">
        <f t="shared" si="21"/>
        <v>Low</v>
      </c>
      <c r="M282" t="str">
        <f t="shared" si="22"/>
        <v>Medium</v>
      </c>
      <c r="N282" t="str">
        <f t="shared" si="23"/>
        <v>No PIP</v>
      </c>
      <c r="O282" t="str">
        <f t="shared" ca="1" si="24"/>
        <v>Not Eligible</v>
      </c>
    </row>
    <row r="283" spans="1:15" x14ac:dyDescent="0.25">
      <c r="A283" t="s">
        <v>38</v>
      </c>
      <c r="B283">
        <v>25</v>
      </c>
      <c r="C283">
        <v>65000</v>
      </c>
      <c r="D283" t="s">
        <v>14</v>
      </c>
      <c r="E283" t="s">
        <v>20</v>
      </c>
      <c r="F283" t="s">
        <v>31</v>
      </c>
      <c r="G283" s="1">
        <v>43845</v>
      </c>
      <c r="H283" s="1" t="s">
        <v>17</v>
      </c>
      <c r="I283" s="1" t="s">
        <v>13</v>
      </c>
      <c r="J283" s="1" t="s">
        <v>19</v>
      </c>
      <c r="K283" s="4">
        <f t="shared" ca="1" si="20"/>
        <v>6.2</v>
      </c>
      <c r="L283" t="str">
        <f t="shared" si="21"/>
        <v>High</v>
      </c>
      <c r="M283" t="str">
        <f t="shared" si="22"/>
        <v>Low</v>
      </c>
      <c r="N283" t="str">
        <f t="shared" si="23"/>
        <v>PIP</v>
      </c>
      <c r="O283" t="str">
        <f t="shared" ca="1" si="24"/>
        <v>Not Eligible</v>
      </c>
    </row>
    <row r="284" spans="1:15" x14ac:dyDescent="0.25">
      <c r="A284" t="s">
        <v>38</v>
      </c>
      <c r="B284">
        <v>30</v>
      </c>
      <c r="C284">
        <v>60216</v>
      </c>
      <c r="D284" t="s">
        <v>9</v>
      </c>
      <c r="E284" t="s">
        <v>27</v>
      </c>
      <c r="F284" t="s">
        <v>30</v>
      </c>
      <c r="G284" s="1">
        <v>43845</v>
      </c>
      <c r="H284" s="1" t="s">
        <v>12</v>
      </c>
      <c r="I284" s="1" t="s">
        <v>44</v>
      </c>
      <c r="J284" s="1" t="s">
        <v>32</v>
      </c>
      <c r="K284" s="4">
        <f t="shared" ca="1" si="20"/>
        <v>6.2</v>
      </c>
      <c r="L284" t="str">
        <f t="shared" si="21"/>
        <v>Medium</v>
      </c>
      <c r="M284" t="str">
        <f t="shared" si="22"/>
        <v>Low</v>
      </c>
      <c r="N284" t="str">
        <f t="shared" si="23"/>
        <v>PIP</v>
      </c>
      <c r="O284" t="str">
        <f t="shared" ca="1" si="24"/>
        <v>Not Eligible</v>
      </c>
    </row>
    <row r="285" spans="1:15" x14ac:dyDescent="0.25">
      <c r="A285" t="s">
        <v>38</v>
      </c>
      <c r="B285">
        <v>40</v>
      </c>
      <c r="C285">
        <v>60000</v>
      </c>
      <c r="D285" t="s">
        <v>14</v>
      </c>
      <c r="E285" t="s">
        <v>23</v>
      </c>
      <c r="F285" t="s">
        <v>31</v>
      </c>
      <c r="G285" s="1">
        <v>43845</v>
      </c>
      <c r="H285" s="1" t="s">
        <v>24</v>
      </c>
      <c r="I285" s="1" t="s">
        <v>25</v>
      </c>
      <c r="J285" s="1" t="s">
        <v>22</v>
      </c>
      <c r="K285" s="4">
        <f t="shared" ca="1" si="20"/>
        <v>6.2</v>
      </c>
      <c r="L285" t="str">
        <f t="shared" si="21"/>
        <v>Medium</v>
      </c>
      <c r="M285" t="str">
        <f t="shared" si="22"/>
        <v>High</v>
      </c>
      <c r="N285" t="str">
        <f t="shared" si="23"/>
        <v>No PIP</v>
      </c>
      <c r="O285" t="str">
        <f t="shared" ca="1" si="24"/>
        <v>Eligible</v>
      </c>
    </row>
    <row r="286" spans="1:15" x14ac:dyDescent="0.25">
      <c r="A286" t="s">
        <v>40</v>
      </c>
      <c r="B286">
        <v>35</v>
      </c>
      <c r="C286">
        <v>65000</v>
      </c>
      <c r="D286" t="s">
        <v>9</v>
      </c>
      <c r="E286" t="s">
        <v>20</v>
      </c>
      <c r="F286" t="s">
        <v>16</v>
      </c>
      <c r="G286" s="1">
        <v>43845</v>
      </c>
      <c r="H286" s="1" t="s">
        <v>29</v>
      </c>
      <c r="I286" s="1" t="s">
        <v>44</v>
      </c>
      <c r="J286" s="1" t="s">
        <v>32</v>
      </c>
      <c r="K286" s="4">
        <f t="shared" ca="1" si="20"/>
        <v>6.2</v>
      </c>
      <c r="L286" t="str">
        <f t="shared" si="21"/>
        <v>High</v>
      </c>
      <c r="M286" t="str">
        <f t="shared" si="22"/>
        <v>Medium</v>
      </c>
      <c r="N286" t="str">
        <f t="shared" si="23"/>
        <v>No PIP</v>
      </c>
      <c r="O286" t="str">
        <f t="shared" ca="1" si="24"/>
        <v>Not Eligible</v>
      </c>
    </row>
    <row r="287" spans="1:15" x14ac:dyDescent="0.25">
      <c r="A287" t="s">
        <v>42</v>
      </c>
      <c r="B287">
        <v>50</v>
      </c>
      <c r="C287">
        <v>65000</v>
      </c>
      <c r="D287" t="s">
        <v>9</v>
      </c>
      <c r="E287" t="s">
        <v>15</v>
      </c>
      <c r="F287" t="s">
        <v>11</v>
      </c>
      <c r="G287" s="1">
        <v>43845</v>
      </c>
      <c r="H287" s="1" t="s">
        <v>12</v>
      </c>
      <c r="I287" s="1" t="s">
        <v>18</v>
      </c>
      <c r="J287" s="1" t="s">
        <v>32</v>
      </c>
      <c r="K287" s="4">
        <f t="shared" ca="1" si="20"/>
        <v>6.2</v>
      </c>
      <c r="L287" t="str">
        <f t="shared" si="21"/>
        <v>High</v>
      </c>
      <c r="M287" t="str">
        <f t="shared" si="22"/>
        <v>Low</v>
      </c>
      <c r="N287" t="str">
        <f t="shared" si="23"/>
        <v>PIP</v>
      </c>
      <c r="O287" t="str">
        <f t="shared" ca="1" si="24"/>
        <v>Not Eligible</v>
      </c>
    </row>
    <row r="288" spans="1:15" x14ac:dyDescent="0.25">
      <c r="A288" t="s">
        <v>34</v>
      </c>
      <c r="B288">
        <v>30</v>
      </c>
      <c r="C288">
        <v>70000</v>
      </c>
      <c r="D288" t="s">
        <v>14</v>
      </c>
      <c r="E288" t="s">
        <v>10</v>
      </c>
      <c r="F288" t="s">
        <v>31</v>
      </c>
      <c r="G288" s="1">
        <v>43845</v>
      </c>
      <c r="H288" s="1" t="s">
        <v>24</v>
      </c>
      <c r="I288" s="1" t="s">
        <v>44</v>
      </c>
      <c r="J288" s="1" t="s">
        <v>19</v>
      </c>
      <c r="K288" s="4">
        <f t="shared" ca="1" si="20"/>
        <v>6.2</v>
      </c>
      <c r="L288" t="str">
        <f t="shared" si="21"/>
        <v>High</v>
      </c>
      <c r="M288" t="str">
        <f t="shared" si="22"/>
        <v>High</v>
      </c>
      <c r="N288" t="str">
        <f t="shared" si="23"/>
        <v>No PIP</v>
      </c>
      <c r="O288" t="str">
        <f t="shared" ca="1" si="24"/>
        <v>Eligible</v>
      </c>
    </row>
    <row r="289" spans="1:15" x14ac:dyDescent="0.25">
      <c r="A289" t="s">
        <v>35</v>
      </c>
      <c r="B289">
        <v>35</v>
      </c>
      <c r="C289">
        <v>50000</v>
      </c>
      <c r="D289" t="s">
        <v>9</v>
      </c>
      <c r="E289" t="s">
        <v>15</v>
      </c>
      <c r="F289" t="s">
        <v>16</v>
      </c>
      <c r="G289" s="1">
        <v>43845</v>
      </c>
      <c r="H289" s="1" t="s">
        <v>29</v>
      </c>
      <c r="I289" s="1" t="s">
        <v>18</v>
      </c>
      <c r="J289" s="1" t="s">
        <v>44</v>
      </c>
      <c r="K289" s="4">
        <f t="shared" ca="1" si="20"/>
        <v>6.2</v>
      </c>
      <c r="L289" t="str">
        <f t="shared" si="21"/>
        <v>Low</v>
      </c>
      <c r="M289" t="str">
        <f t="shared" si="22"/>
        <v>Medium</v>
      </c>
      <c r="N289" t="str">
        <f t="shared" si="23"/>
        <v>No PIP</v>
      </c>
      <c r="O289" t="str">
        <f t="shared" ca="1" si="24"/>
        <v>Not Eligible</v>
      </c>
    </row>
    <row r="290" spans="1:15" x14ac:dyDescent="0.25">
      <c r="A290" t="s">
        <v>33</v>
      </c>
      <c r="B290">
        <v>35</v>
      </c>
      <c r="C290">
        <v>70000</v>
      </c>
      <c r="D290" t="s">
        <v>14</v>
      </c>
      <c r="E290" t="s">
        <v>23</v>
      </c>
      <c r="F290" t="s">
        <v>11</v>
      </c>
      <c r="G290" s="1">
        <v>43845</v>
      </c>
      <c r="H290" s="1" t="s">
        <v>12</v>
      </c>
      <c r="I290" s="1" t="s">
        <v>44</v>
      </c>
      <c r="J290" s="1" t="s">
        <v>19</v>
      </c>
      <c r="K290" s="4">
        <f t="shared" ca="1" si="20"/>
        <v>6.2</v>
      </c>
      <c r="L290" t="str">
        <f t="shared" si="21"/>
        <v>High</v>
      </c>
      <c r="M290" t="str">
        <f t="shared" si="22"/>
        <v>Low</v>
      </c>
      <c r="N290" t="str">
        <f t="shared" si="23"/>
        <v>PIP</v>
      </c>
      <c r="O290" t="str">
        <f t="shared" ca="1" si="24"/>
        <v>Not Eligible</v>
      </c>
    </row>
    <row r="291" spans="1:15" x14ac:dyDescent="0.25">
      <c r="A291" t="s">
        <v>39</v>
      </c>
      <c r="B291">
        <v>30</v>
      </c>
      <c r="C291">
        <v>60216</v>
      </c>
      <c r="D291" t="s">
        <v>9</v>
      </c>
      <c r="E291" t="s">
        <v>27</v>
      </c>
      <c r="F291" t="s">
        <v>11</v>
      </c>
      <c r="G291" s="1">
        <v>43845</v>
      </c>
      <c r="H291" s="1" t="s">
        <v>12</v>
      </c>
      <c r="I291" s="1" t="s">
        <v>18</v>
      </c>
      <c r="J291" s="1" t="s">
        <v>22</v>
      </c>
      <c r="K291" s="4">
        <f t="shared" ca="1" si="20"/>
        <v>6.2</v>
      </c>
      <c r="L291" t="str">
        <f t="shared" si="21"/>
        <v>Medium</v>
      </c>
      <c r="M291" t="str">
        <f t="shared" si="22"/>
        <v>Low</v>
      </c>
      <c r="N291" t="str">
        <f t="shared" si="23"/>
        <v>PIP</v>
      </c>
      <c r="O291" t="str">
        <f t="shared" ca="1" si="24"/>
        <v>Not Eligible</v>
      </c>
    </row>
    <row r="292" spans="1:15" x14ac:dyDescent="0.25">
      <c r="A292" t="s">
        <v>38</v>
      </c>
      <c r="B292">
        <v>25</v>
      </c>
      <c r="C292">
        <v>70000</v>
      </c>
      <c r="D292" t="s">
        <v>9</v>
      </c>
      <c r="E292" t="s">
        <v>27</v>
      </c>
      <c r="F292" t="s">
        <v>11</v>
      </c>
      <c r="G292" s="1">
        <v>43845</v>
      </c>
      <c r="H292" s="1" t="s">
        <v>24</v>
      </c>
      <c r="I292" s="1" t="s">
        <v>44</v>
      </c>
      <c r="J292" s="1" t="s">
        <v>22</v>
      </c>
      <c r="K292" s="4">
        <f t="shared" ca="1" si="20"/>
        <v>6.2</v>
      </c>
      <c r="L292" t="str">
        <f t="shared" si="21"/>
        <v>High</v>
      </c>
      <c r="M292" t="str">
        <f t="shared" si="22"/>
        <v>High</v>
      </c>
      <c r="N292" t="str">
        <f t="shared" si="23"/>
        <v>No PIP</v>
      </c>
      <c r="O292" t="str">
        <f t="shared" ca="1" si="24"/>
        <v>Eligible</v>
      </c>
    </row>
    <row r="293" spans="1:15" x14ac:dyDescent="0.25">
      <c r="A293" t="s">
        <v>42</v>
      </c>
      <c r="B293">
        <v>40</v>
      </c>
      <c r="C293">
        <v>55000</v>
      </c>
      <c r="D293" t="s">
        <v>26</v>
      </c>
      <c r="E293" t="s">
        <v>15</v>
      </c>
      <c r="F293" t="s">
        <v>31</v>
      </c>
      <c r="G293" s="1">
        <v>43845</v>
      </c>
      <c r="H293" s="1" t="s">
        <v>29</v>
      </c>
      <c r="I293" s="1" t="s">
        <v>44</v>
      </c>
      <c r="J293" s="1" t="s">
        <v>44</v>
      </c>
      <c r="K293" s="4">
        <f t="shared" ca="1" si="20"/>
        <v>6.2</v>
      </c>
      <c r="L293" t="str">
        <f t="shared" si="21"/>
        <v>Low</v>
      </c>
      <c r="M293" t="str">
        <f t="shared" si="22"/>
        <v>Medium</v>
      </c>
      <c r="N293" t="str">
        <f t="shared" si="23"/>
        <v>No PIP</v>
      </c>
      <c r="O293" t="str">
        <f t="shared" ca="1" si="24"/>
        <v>Not Eligible</v>
      </c>
    </row>
    <row r="294" spans="1:15" x14ac:dyDescent="0.25">
      <c r="A294" t="s">
        <v>35</v>
      </c>
      <c r="B294">
        <v>35</v>
      </c>
      <c r="C294">
        <v>60216</v>
      </c>
      <c r="D294" t="s">
        <v>9</v>
      </c>
      <c r="E294" t="s">
        <v>15</v>
      </c>
      <c r="F294" t="s">
        <v>11</v>
      </c>
      <c r="G294" s="1">
        <v>43845</v>
      </c>
      <c r="H294" s="1" t="s">
        <v>21</v>
      </c>
      <c r="I294" s="1" t="s">
        <v>18</v>
      </c>
      <c r="J294" s="1" t="s">
        <v>44</v>
      </c>
      <c r="K294" s="4">
        <f t="shared" ca="1" si="20"/>
        <v>6.2</v>
      </c>
      <c r="L294" t="str">
        <f t="shared" si="21"/>
        <v>Medium</v>
      </c>
      <c r="M294" t="str">
        <f t="shared" si="22"/>
        <v>Medium</v>
      </c>
      <c r="N294" t="str">
        <f t="shared" si="23"/>
        <v>No PIP</v>
      </c>
      <c r="O294" t="str">
        <f t="shared" ca="1" si="24"/>
        <v>Not Eligible</v>
      </c>
    </row>
    <row r="295" spans="1:15" x14ac:dyDescent="0.25">
      <c r="A295" t="s">
        <v>41</v>
      </c>
      <c r="B295">
        <v>35</v>
      </c>
      <c r="C295">
        <v>55000</v>
      </c>
      <c r="D295" t="s">
        <v>9</v>
      </c>
      <c r="E295" t="s">
        <v>15</v>
      </c>
      <c r="F295" t="s">
        <v>31</v>
      </c>
      <c r="G295" s="1">
        <v>43845</v>
      </c>
      <c r="H295" s="1" t="s">
        <v>29</v>
      </c>
      <c r="I295" s="1" t="s">
        <v>25</v>
      </c>
      <c r="J295" s="1" t="s">
        <v>44</v>
      </c>
      <c r="K295" s="4">
        <f t="shared" ca="1" si="20"/>
        <v>6.2</v>
      </c>
      <c r="L295" t="str">
        <f t="shared" si="21"/>
        <v>Low</v>
      </c>
      <c r="M295" t="str">
        <f t="shared" si="22"/>
        <v>Medium</v>
      </c>
      <c r="N295" t="str">
        <f t="shared" si="23"/>
        <v>No PIP</v>
      </c>
      <c r="O295" t="str">
        <f t="shared" ca="1" si="24"/>
        <v>Not Eligible</v>
      </c>
    </row>
    <row r="296" spans="1:15" x14ac:dyDescent="0.25">
      <c r="A296" t="s">
        <v>42</v>
      </c>
      <c r="B296">
        <v>25</v>
      </c>
      <c r="C296">
        <v>50000</v>
      </c>
      <c r="D296" t="s">
        <v>14</v>
      </c>
      <c r="E296" t="s">
        <v>10</v>
      </c>
      <c r="F296" t="s">
        <v>11</v>
      </c>
      <c r="G296" s="1">
        <v>43845</v>
      </c>
      <c r="H296" s="1" t="s">
        <v>21</v>
      </c>
      <c r="I296" s="1" t="s">
        <v>18</v>
      </c>
      <c r="J296" s="1" t="s">
        <v>44</v>
      </c>
      <c r="K296" s="4">
        <f t="shared" ca="1" si="20"/>
        <v>6.2</v>
      </c>
      <c r="L296" t="str">
        <f t="shared" si="21"/>
        <v>Low</v>
      </c>
      <c r="M296" t="str">
        <f t="shared" si="22"/>
        <v>Medium</v>
      </c>
      <c r="N296" t="str">
        <f t="shared" si="23"/>
        <v>No PIP</v>
      </c>
      <c r="O296" t="str">
        <f t="shared" ca="1" si="24"/>
        <v>Not Eligible</v>
      </c>
    </row>
    <row r="297" spans="1:15" x14ac:dyDescent="0.25">
      <c r="A297" t="s">
        <v>35</v>
      </c>
      <c r="B297">
        <v>25</v>
      </c>
      <c r="C297">
        <v>60216</v>
      </c>
      <c r="D297" t="s">
        <v>26</v>
      </c>
      <c r="E297" t="s">
        <v>27</v>
      </c>
      <c r="F297" t="s">
        <v>30</v>
      </c>
      <c r="G297" s="1">
        <v>43845</v>
      </c>
      <c r="H297" s="1" t="s">
        <v>17</v>
      </c>
      <c r="I297" s="1" t="s">
        <v>25</v>
      </c>
      <c r="J297" s="1" t="s">
        <v>44</v>
      </c>
      <c r="K297" s="4">
        <f t="shared" ca="1" si="20"/>
        <v>6.2</v>
      </c>
      <c r="L297" t="str">
        <f t="shared" si="21"/>
        <v>Medium</v>
      </c>
      <c r="M297" t="str">
        <f t="shared" si="22"/>
        <v>Low</v>
      </c>
      <c r="N297" t="str">
        <f t="shared" si="23"/>
        <v>PIP</v>
      </c>
      <c r="O297" t="str">
        <f t="shared" ca="1" si="24"/>
        <v>Not Eligible</v>
      </c>
    </row>
    <row r="298" spans="1:15" x14ac:dyDescent="0.25">
      <c r="A298" t="s">
        <v>33</v>
      </c>
      <c r="B298">
        <v>40</v>
      </c>
      <c r="C298">
        <v>60216</v>
      </c>
      <c r="D298" t="s">
        <v>26</v>
      </c>
      <c r="E298" t="s">
        <v>15</v>
      </c>
      <c r="F298" t="s">
        <v>28</v>
      </c>
      <c r="G298" s="1">
        <v>43845</v>
      </c>
      <c r="H298" s="1" t="s">
        <v>21</v>
      </c>
      <c r="I298" s="1" t="s">
        <v>25</v>
      </c>
      <c r="J298" s="1" t="s">
        <v>44</v>
      </c>
      <c r="K298" s="4">
        <f t="shared" ca="1" si="20"/>
        <v>6.2</v>
      </c>
      <c r="L298" t="str">
        <f t="shared" si="21"/>
        <v>Medium</v>
      </c>
      <c r="M298" t="str">
        <f t="shared" si="22"/>
        <v>Medium</v>
      </c>
      <c r="N298" t="str">
        <f t="shared" si="23"/>
        <v>No PIP</v>
      </c>
      <c r="O298" t="str">
        <f t="shared" ca="1" si="24"/>
        <v>Not Eligible</v>
      </c>
    </row>
    <row r="299" spans="1:15" x14ac:dyDescent="0.25">
      <c r="A299" t="s">
        <v>37</v>
      </c>
      <c r="B299">
        <v>40</v>
      </c>
      <c r="C299">
        <v>60216</v>
      </c>
      <c r="D299" t="s">
        <v>26</v>
      </c>
      <c r="E299" t="s">
        <v>27</v>
      </c>
      <c r="F299" t="s">
        <v>30</v>
      </c>
      <c r="G299" s="1">
        <v>43845</v>
      </c>
      <c r="H299" s="1" t="s">
        <v>21</v>
      </c>
      <c r="I299" s="1" t="s">
        <v>13</v>
      </c>
      <c r="J299" s="1" t="s">
        <v>32</v>
      </c>
      <c r="K299" s="4">
        <f t="shared" ca="1" si="20"/>
        <v>6.2</v>
      </c>
      <c r="L299" t="str">
        <f t="shared" si="21"/>
        <v>Medium</v>
      </c>
      <c r="M299" t="str">
        <f t="shared" si="22"/>
        <v>Medium</v>
      </c>
      <c r="N299" t="str">
        <f t="shared" si="23"/>
        <v>No PIP</v>
      </c>
      <c r="O299" t="str">
        <f t="shared" ca="1" si="24"/>
        <v>Not Eligible</v>
      </c>
    </row>
    <row r="300" spans="1:15" x14ac:dyDescent="0.25">
      <c r="A300" t="s">
        <v>37</v>
      </c>
      <c r="B300">
        <v>25</v>
      </c>
      <c r="C300">
        <v>55000</v>
      </c>
      <c r="D300" t="s">
        <v>26</v>
      </c>
      <c r="E300" t="s">
        <v>10</v>
      </c>
      <c r="F300" t="s">
        <v>11</v>
      </c>
      <c r="G300" s="1">
        <v>43845</v>
      </c>
      <c r="H300" s="1" t="s">
        <v>17</v>
      </c>
      <c r="I300" s="1" t="s">
        <v>13</v>
      </c>
      <c r="J300" s="1" t="s">
        <v>19</v>
      </c>
      <c r="K300" s="4">
        <f t="shared" ca="1" si="20"/>
        <v>6.2</v>
      </c>
      <c r="L300" t="str">
        <f t="shared" si="21"/>
        <v>Low</v>
      </c>
      <c r="M300" t="str">
        <f t="shared" si="22"/>
        <v>Low</v>
      </c>
      <c r="N300" t="str">
        <f t="shared" si="23"/>
        <v>PIP</v>
      </c>
      <c r="O300" t="str">
        <f t="shared" ca="1" si="24"/>
        <v>Not Eligible</v>
      </c>
    </row>
    <row r="301" spans="1:15" x14ac:dyDescent="0.25">
      <c r="A301" t="s">
        <v>34</v>
      </c>
      <c r="B301">
        <v>25</v>
      </c>
      <c r="C301">
        <v>65000</v>
      </c>
      <c r="D301" t="s">
        <v>9</v>
      </c>
      <c r="E301" t="s">
        <v>10</v>
      </c>
      <c r="F301" t="s">
        <v>31</v>
      </c>
      <c r="G301" s="1">
        <v>43845</v>
      </c>
      <c r="H301" s="1" t="s">
        <v>12</v>
      </c>
      <c r="I301" s="1" t="s">
        <v>18</v>
      </c>
      <c r="J301" s="1" t="s">
        <v>19</v>
      </c>
      <c r="K301" s="4">
        <f t="shared" ca="1" si="20"/>
        <v>6.2</v>
      </c>
      <c r="L301" t="str">
        <f t="shared" si="21"/>
        <v>High</v>
      </c>
      <c r="M301" t="str">
        <f t="shared" si="22"/>
        <v>Low</v>
      </c>
      <c r="N301" t="str">
        <f t="shared" si="23"/>
        <v>PIP</v>
      </c>
      <c r="O301" t="str">
        <f t="shared" ca="1" si="24"/>
        <v>Not Eligible</v>
      </c>
    </row>
    <row r="302" spans="1:15" x14ac:dyDescent="0.25">
      <c r="A302" t="s">
        <v>33</v>
      </c>
      <c r="B302">
        <v>40</v>
      </c>
      <c r="C302">
        <v>60000</v>
      </c>
      <c r="D302" t="s">
        <v>26</v>
      </c>
      <c r="E302" t="s">
        <v>15</v>
      </c>
      <c r="F302" t="s">
        <v>28</v>
      </c>
      <c r="G302" s="1">
        <v>43845</v>
      </c>
      <c r="H302" s="1" t="s">
        <v>21</v>
      </c>
      <c r="I302" s="1" t="s">
        <v>13</v>
      </c>
      <c r="J302" s="1" t="s">
        <v>22</v>
      </c>
      <c r="K302" s="4">
        <f t="shared" ca="1" si="20"/>
        <v>6.2</v>
      </c>
      <c r="L302" t="str">
        <f t="shared" si="21"/>
        <v>Medium</v>
      </c>
      <c r="M302" t="str">
        <f t="shared" si="22"/>
        <v>Medium</v>
      </c>
      <c r="N302" t="str">
        <f t="shared" si="23"/>
        <v>No PIP</v>
      </c>
      <c r="O302" t="str">
        <f t="shared" ca="1" si="24"/>
        <v>Not Eligible</v>
      </c>
    </row>
    <row r="303" spans="1:15" x14ac:dyDescent="0.25">
      <c r="A303" t="s">
        <v>40</v>
      </c>
      <c r="B303">
        <v>50</v>
      </c>
      <c r="C303">
        <v>60000</v>
      </c>
      <c r="D303" t="s">
        <v>9</v>
      </c>
      <c r="E303" t="s">
        <v>23</v>
      </c>
      <c r="F303" t="s">
        <v>11</v>
      </c>
      <c r="G303" s="1">
        <v>43845</v>
      </c>
      <c r="H303" s="1" t="s">
        <v>29</v>
      </c>
      <c r="I303" s="1" t="s">
        <v>25</v>
      </c>
      <c r="J303" s="1" t="s">
        <v>44</v>
      </c>
      <c r="K303" s="4">
        <f t="shared" ca="1" si="20"/>
        <v>6.2</v>
      </c>
      <c r="L303" t="str">
        <f t="shared" si="21"/>
        <v>Medium</v>
      </c>
      <c r="M303" t="str">
        <f t="shared" si="22"/>
        <v>Medium</v>
      </c>
      <c r="N303" t="str">
        <f t="shared" si="23"/>
        <v>No PIP</v>
      </c>
      <c r="O303" t="str">
        <f t="shared" ca="1" si="24"/>
        <v>Not Eligible</v>
      </c>
    </row>
    <row r="304" spans="1:15" x14ac:dyDescent="0.25">
      <c r="A304" t="s">
        <v>38</v>
      </c>
      <c r="B304">
        <v>30</v>
      </c>
      <c r="C304">
        <v>55000</v>
      </c>
      <c r="D304" t="s">
        <v>14</v>
      </c>
      <c r="E304" t="s">
        <v>15</v>
      </c>
      <c r="F304" t="s">
        <v>30</v>
      </c>
      <c r="G304" s="1">
        <v>43845</v>
      </c>
      <c r="H304" s="1" t="s">
        <v>21</v>
      </c>
      <c r="I304" s="1" t="s">
        <v>25</v>
      </c>
      <c r="J304" s="1" t="s">
        <v>22</v>
      </c>
      <c r="K304" s="4">
        <f t="shared" ca="1" si="20"/>
        <v>6.2</v>
      </c>
      <c r="L304" t="str">
        <f t="shared" si="21"/>
        <v>Low</v>
      </c>
      <c r="M304" t="str">
        <f t="shared" si="22"/>
        <v>Medium</v>
      </c>
      <c r="N304" t="str">
        <f t="shared" si="23"/>
        <v>No PIP</v>
      </c>
      <c r="O304" t="str">
        <f t="shared" ca="1" si="24"/>
        <v>Not Eligible</v>
      </c>
    </row>
    <row r="305" spans="1:15" x14ac:dyDescent="0.25">
      <c r="A305" t="s">
        <v>39</v>
      </c>
      <c r="B305">
        <v>35</v>
      </c>
      <c r="C305">
        <v>55000</v>
      </c>
      <c r="D305" t="s">
        <v>26</v>
      </c>
      <c r="E305" t="s">
        <v>15</v>
      </c>
      <c r="F305" t="s">
        <v>31</v>
      </c>
      <c r="G305" s="1">
        <v>43845</v>
      </c>
      <c r="H305" s="1" t="s">
        <v>17</v>
      </c>
      <c r="I305" s="1" t="s">
        <v>13</v>
      </c>
      <c r="J305" s="1" t="s">
        <v>44</v>
      </c>
      <c r="K305" s="4">
        <f t="shared" ca="1" si="20"/>
        <v>6.2</v>
      </c>
      <c r="L305" t="str">
        <f t="shared" si="21"/>
        <v>Low</v>
      </c>
      <c r="M305" t="str">
        <f t="shared" si="22"/>
        <v>Low</v>
      </c>
      <c r="N305" t="str">
        <f t="shared" si="23"/>
        <v>PIP</v>
      </c>
      <c r="O305" t="str">
        <f t="shared" ca="1" si="24"/>
        <v>Not Eligible</v>
      </c>
    </row>
    <row r="306" spans="1:15" x14ac:dyDescent="0.25">
      <c r="A306" t="s">
        <v>37</v>
      </c>
      <c r="B306">
        <v>30</v>
      </c>
      <c r="C306">
        <v>60216</v>
      </c>
      <c r="D306" t="s">
        <v>9</v>
      </c>
      <c r="E306" t="s">
        <v>15</v>
      </c>
      <c r="F306" t="s">
        <v>16</v>
      </c>
      <c r="G306" s="1">
        <v>43845</v>
      </c>
      <c r="H306" s="1" t="s">
        <v>17</v>
      </c>
      <c r="I306" s="1" t="s">
        <v>13</v>
      </c>
      <c r="J306" s="1" t="s">
        <v>44</v>
      </c>
      <c r="K306" s="4">
        <f t="shared" ca="1" si="20"/>
        <v>6.2</v>
      </c>
      <c r="L306" t="str">
        <f t="shared" si="21"/>
        <v>Medium</v>
      </c>
      <c r="M306" t="str">
        <f t="shared" si="22"/>
        <v>Low</v>
      </c>
      <c r="N306" t="str">
        <f t="shared" si="23"/>
        <v>PIP</v>
      </c>
      <c r="O306" t="str">
        <f t="shared" ca="1" si="24"/>
        <v>Not Eligible</v>
      </c>
    </row>
    <row r="307" spans="1:15" x14ac:dyDescent="0.25">
      <c r="A307" t="s">
        <v>39</v>
      </c>
      <c r="B307">
        <v>40</v>
      </c>
      <c r="C307">
        <v>65000</v>
      </c>
      <c r="D307" t="s">
        <v>9</v>
      </c>
      <c r="E307" t="s">
        <v>27</v>
      </c>
      <c r="F307" t="s">
        <v>16</v>
      </c>
      <c r="G307" s="1">
        <v>43845</v>
      </c>
      <c r="H307" s="1" t="s">
        <v>12</v>
      </c>
      <c r="I307" s="1" t="s">
        <v>18</v>
      </c>
      <c r="J307" s="1" t="s">
        <v>44</v>
      </c>
      <c r="K307" s="4">
        <f t="shared" ca="1" si="20"/>
        <v>6.2</v>
      </c>
      <c r="L307" t="str">
        <f t="shared" si="21"/>
        <v>High</v>
      </c>
      <c r="M307" t="str">
        <f t="shared" si="22"/>
        <v>Low</v>
      </c>
      <c r="N307" t="str">
        <f t="shared" si="23"/>
        <v>PIP</v>
      </c>
      <c r="O307" t="str">
        <f t="shared" ca="1" si="24"/>
        <v>Not Eligible</v>
      </c>
    </row>
    <row r="308" spans="1:15" x14ac:dyDescent="0.25">
      <c r="A308" t="s">
        <v>38</v>
      </c>
      <c r="B308">
        <v>30</v>
      </c>
      <c r="C308">
        <v>50000</v>
      </c>
      <c r="D308" t="s">
        <v>9</v>
      </c>
      <c r="E308" t="s">
        <v>23</v>
      </c>
      <c r="F308" t="s">
        <v>16</v>
      </c>
      <c r="G308" s="1">
        <v>43845</v>
      </c>
      <c r="H308" s="1" t="s">
        <v>21</v>
      </c>
      <c r="I308" s="1" t="s">
        <v>25</v>
      </c>
      <c r="J308" s="1" t="s">
        <v>32</v>
      </c>
      <c r="K308" s="4">
        <f t="shared" ca="1" si="20"/>
        <v>6.2</v>
      </c>
      <c r="L308" t="str">
        <f t="shared" si="21"/>
        <v>Low</v>
      </c>
      <c r="M308" t="str">
        <f t="shared" si="22"/>
        <v>Medium</v>
      </c>
      <c r="N308" t="str">
        <f t="shared" si="23"/>
        <v>No PIP</v>
      </c>
      <c r="O308" t="str">
        <f t="shared" ca="1" si="24"/>
        <v>Not Eligible</v>
      </c>
    </row>
    <row r="309" spans="1:15" x14ac:dyDescent="0.25">
      <c r="A309" t="s">
        <v>35</v>
      </c>
      <c r="B309">
        <v>40</v>
      </c>
      <c r="C309">
        <v>50000</v>
      </c>
      <c r="D309" t="s">
        <v>9</v>
      </c>
      <c r="E309" t="s">
        <v>10</v>
      </c>
      <c r="F309" t="s">
        <v>31</v>
      </c>
      <c r="G309" s="1">
        <v>43845</v>
      </c>
      <c r="H309" s="1" t="s">
        <v>29</v>
      </c>
      <c r="I309" s="1" t="s">
        <v>13</v>
      </c>
      <c r="J309" s="1" t="s">
        <v>32</v>
      </c>
      <c r="K309" s="4">
        <f t="shared" ca="1" si="20"/>
        <v>6.2</v>
      </c>
      <c r="L309" t="str">
        <f t="shared" si="21"/>
        <v>Low</v>
      </c>
      <c r="M309" t="str">
        <f t="shared" si="22"/>
        <v>Medium</v>
      </c>
      <c r="N309" t="str">
        <f t="shared" si="23"/>
        <v>No PIP</v>
      </c>
      <c r="O309" t="str">
        <f t="shared" ca="1" si="24"/>
        <v>Not Eligible</v>
      </c>
    </row>
    <row r="310" spans="1:15" x14ac:dyDescent="0.25">
      <c r="A310" t="s">
        <v>35</v>
      </c>
      <c r="B310">
        <v>30</v>
      </c>
      <c r="C310">
        <v>65000</v>
      </c>
      <c r="D310" t="s">
        <v>9</v>
      </c>
      <c r="E310" t="s">
        <v>23</v>
      </c>
      <c r="F310" t="s">
        <v>28</v>
      </c>
      <c r="G310" s="1">
        <v>43845</v>
      </c>
      <c r="H310" s="1" t="s">
        <v>17</v>
      </c>
      <c r="I310" s="1" t="s">
        <v>13</v>
      </c>
      <c r="J310" s="1" t="s">
        <v>19</v>
      </c>
      <c r="K310" s="4">
        <f t="shared" ca="1" si="20"/>
        <v>6.2</v>
      </c>
      <c r="L310" t="str">
        <f t="shared" si="21"/>
        <v>High</v>
      </c>
      <c r="M310" t="str">
        <f t="shared" si="22"/>
        <v>Low</v>
      </c>
      <c r="N310" t="str">
        <f t="shared" si="23"/>
        <v>PIP</v>
      </c>
      <c r="O310" t="str">
        <f t="shared" ca="1" si="24"/>
        <v>Not Eligible</v>
      </c>
    </row>
    <row r="311" spans="1:15" x14ac:dyDescent="0.25">
      <c r="A311" t="s">
        <v>38</v>
      </c>
      <c r="B311">
        <v>30</v>
      </c>
      <c r="C311">
        <v>50000</v>
      </c>
      <c r="D311" t="s">
        <v>26</v>
      </c>
      <c r="E311" t="s">
        <v>20</v>
      </c>
      <c r="F311" t="s">
        <v>28</v>
      </c>
      <c r="G311" s="1">
        <v>43845</v>
      </c>
      <c r="H311" s="1" t="s">
        <v>17</v>
      </c>
      <c r="I311" s="1" t="s">
        <v>25</v>
      </c>
      <c r="J311" s="1" t="s">
        <v>44</v>
      </c>
      <c r="K311" s="4">
        <f t="shared" ca="1" si="20"/>
        <v>6.2</v>
      </c>
      <c r="L311" t="str">
        <f t="shared" si="21"/>
        <v>Low</v>
      </c>
      <c r="M311" t="str">
        <f t="shared" si="22"/>
        <v>Low</v>
      </c>
      <c r="N311" t="str">
        <f t="shared" si="23"/>
        <v>PIP</v>
      </c>
      <c r="O311" t="str">
        <f t="shared" ca="1" si="24"/>
        <v>Not Eligible</v>
      </c>
    </row>
    <row r="312" spans="1:15" x14ac:dyDescent="0.25">
      <c r="A312" t="s">
        <v>37</v>
      </c>
      <c r="B312">
        <v>30</v>
      </c>
      <c r="C312">
        <v>65000</v>
      </c>
      <c r="D312" t="s">
        <v>14</v>
      </c>
      <c r="E312" t="s">
        <v>10</v>
      </c>
      <c r="F312" t="s">
        <v>30</v>
      </c>
      <c r="G312" s="1">
        <v>43845</v>
      </c>
      <c r="H312" s="1" t="s">
        <v>29</v>
      </c>
      <c r="I312" s="1" t="s">
        <v>13</v>
      </c>
      <c r="J312" s="1" t="s">
        <v>22</v>
      </c>
      <c r="K312" s="4">
        <f t="shared" ca="1" si="20"/>
        <v>6.2</v>
      </c>
      <c r="L312" t="str">
        <f t="shared" si="21"/>
        <v>High</v>
      </c>
      <c r="M312" t="str">
        <f t="shared" si="22"/>
        <v>Medium</v>
      </c>
      <c r="N312" t="str">
        <f t="shared" si="23"/>
        <v>No PIP</v>
      </c>
      <c r="O312" t="str">
        <f t="shared" ca="1" si="24"/>
        <v>Not Eligible</v>
      </c>
    </row>
    <row r="313" spans="1:15" x14ac:dyDescent="0.25">
      <c r="A313" t="s">
        <v>33</v>
      </c>
      <c r="B313">
        <v>35</v>
      </c>
      <c r="C313">
        <v>60216</v>
      </c>
      <c r="D313" t="s">
        <v>14</v>
      </c>
      <c r="E313" t="s">
        <v>20</v>
      </c>
      <c r="F313" t="s">
        <v>11</v>
      </c>
      <c r="G313" s="1">
        <v>43845</v>
      </c>
      <c r="H313" s="1" t="s">
        <v>24</v>
      </c>
      <c r="I313" s="1" t="s">
        <v>44</v>
      </c>
      <c r="J313" s="1" t="s">
        <v>44</v>
      </c>
      <c r="K313" s="4">
        <f t="shared" ca="1" si="20"/>
        <v>6.2</v>
      </c>
      <c r="L313" t="str">
        <f t="shared" si="21"/>
        <v>Medium</v>
      </c>
      <c r="M313" t="str">
        <f t="shared" si="22"/>
        <v>High</v>
      </c>
      <c r="N313" t="str">
        <f t="shared" si="23"/>
        <v>No PIP</v>
      </c>
      <c r="O313" t="str">
        <f t="shared" ca="1" si="24"/>
        <v>Eligible</v>
      </c>
    </row>
    <row r="314" spans="1:15" x14ac:dyDescent="0.25">
      <c r="A314" t="s">
        <v>41</v>
      </c>
      <c r="B314">
        <v>40</v>
      </c>
      <c r="C314">
        <v>70000</v>
      </c>
      <c r="D314" t="s">
        <v>26</v>
      </c>
      <c r="E314" t="s">
        <v>20</v>
      </c>
      <c r="F314" t="s">
        <v>16</v>
      </c>
      <c r="G314" s="1">
        <v>43845</v>
      </c>
      <c r="H314" s="1" t="s">
        <v>17</v>
      </c>
      <c r="I314" s="1" t="s">
        <v>25</v>
      </c>
      <c r="J314" s="1" t="s">
        <v>44</v>
      </c>
      <c r="K314" s="4">
        <f t="shared" ca="1" si="20"/>
        <v>6.2</v>
      </c>
      <c r="L314" t="str">
        <f t="shared" si="21"/>
        <v>High</v>
      </c>
      <c r="M314" t="str">
        <f t="shared" si="22"/>
        <v>Low</v>
      </c>
      <c r="N314" t="str">
        <f t="shared" si="23"/>
        <v>PIP</v>
      </c>
      <c r="O314" t="str">
        <f t="shared" ca="1" si="24"/>
        <v>Not Eligible</v>
      </c>
    </row>
    <row r="315" spans="1:15" x14ac:dyDescent="0.25">
      <c r="A315" t="s">
        <v>37</v>
      </c>
      <c r="B315">
        <v>25</v>
      </c>
      <c r="C315">
        <v>60216</v>
      </c>
      <c r="D315" t="s">
        <v>26</v>
      </c>
      <c r="E315" t="s">
        <v>27</v>
      </c>
      <c r="F315" t="s">
        <v>11</v>
      </c>
      <c r="G315" s="1">
        <v>43845</v>
      </c>
      <c r="H315" s="1" t="s">
        <v>17</v>
      </c>
      <c r="I315" s="1" t="s">
        <v>13</v>
      </c>
      <c r="J315" s="1" t="s">
        <v>44</v>
      </c>
      <c r="K315" s="4">
        <f t="shared" ca="1" si="20"/>
        <v>6.2</v>
      </c>
      <c r="L315" t="str">
        <f t="shared" si="21"/>
        <v>Medium</v>
      </c>
      <c r="M315" t="str">
        <f t="shared" si="22"/>
        <v>Low</v>
      </c>
      <c r="N315" t="str">
        <f t="shared" si="23"/>
        <v>PIP</v>
      </c>
      <c r="O315" t="str">
        <f t="shared" ca="1" si="24"/>
        <v>Not Eligible</v>
      </c>
    </row>
    <row r="316" spans="1:15" x14ac:dyDescent="0.25">
      <c r="A316" t="s">
        <v>36</v>
      </c>
      <c r="B316">
        <v>35</v>
      </c>
      <c r="C316">
        <v>60000</v>
      </c>
      <c r="D316" t="s">
        <v>14</v>
      </c>
      <c r="E316" t="s">
        <v>10</v>
      </c>
      <c r="F316" t="s">
        <v>28</v>
      </c>
      <c r="G316" s="1">
        <v>43845</v>
      </c>
      <c r="H316" s="1" t="s">
        <v>24</v>
      </c>
      <c r="I316" s="1" t="s">
        <v>13</v>
      </c>
      <c r="J316" s="1" t="s">
        <v>22</v>
      </c>
      <c r="K316" s="4">
        <f t="shared" ca="1" si="20"/>
        <v>6.2</v>
      </c>
      <c r="L316" t="str">
        <f t="shared" si="21"/>
        <v>Medium</v>
      </c>
      <c r="M316" t="str">
        <f t="shared" si="22"/>
        <v>High</v>
      </c>
      <c r="N316" t="str">
        <f t="shared" si="23"/>
        <v>No PIP</v>
      </c>
      <c r="O316" t="str">
        <f t="shared" ca="1" si="24"/>
        <v>Eligible</v>
      </c>
    </row>
    <row r="317" spans="1:15" x14ac:dyDescent="0.25">
      <c r="A317" t="s">
        <v>33</v>
      </c>
      <c r="B317">
        <v>30</v>
      </c>
      <c r="C317">
        <v>70000</v>
      </c>
      <c r="D317" t="s">
        <v>26</v>
      </c>
      <c r="E317" t="s">
        <v>27</v>
      </c>
      <c r="F317" t="s">
        <v>30</v>
      </c>
      <c r="G317" s="1">
        <v>43845</v>
      </c>
      <c r="H317" s="1" t="s">
        <v>17</v>
      </c>
      <c r="I317" s="1" t="s">
        <v>44</v>
      </c>
      <c r="J317" s="1" t="s">
        <v>44</v>
      </c>
      <c r="K317" s="4">
        <f t="shared" ca="1" si="20"/>
        <v>6.2</v>
      </c>
      <c r="L317" t="str">
        <f t="shared" si="21"/>
        <v>High</v>
      </c>
      <c r="M317" t="str">
        <f t="shared" si="22"/>
        <v>Low</v>
      </c>
      <c r="N317" t="str">
        <f t="shared" si="23"/>
        <v>PIP</v>
      </c>
      <c r="O317" t="str">
        <f t="shared" ca="1" si="24"/>
        <v>Not Eligible</v>
      </c>
    </row>
    <row r="318" spans="1:15" x14ac:dyDescent="0.25">
      <c r="A318" t="s">
        <v>36</v>
      </c>
      <c r="B318">
        <v>50</v>
      </c>
      <c r="C318">
        <v>60000</v>
      </c>
      <c r="D318" t="s">
        <v>26</v>
      </c>
      <c r="E318" t="s">
        <v>10</v>
      </c>
      <c r="F318" t="s">
        <v>30</v>
      </c>
      <c r="G318" s="1">
        <v>43845</v>
      </c>
      <c r="H318" s="1" t="s">
        <v>24</v>
      </c>
      <c r="I318" s="1" t="s">
        <v>44</v>
      </c>
      <c r="J318" s="1" t="s">
        <v>44</v>
      </c>
      <c r="K318" s="4">
        <f t="shared" ca="1" si="20"/>
        <v>6.2</v>
      </c>
      <c r="L318" t="str">
        <f t="shared" si="21"/>
        <v>Medium</v>
      </c>
      <c r="M318" t="str">
        <f t="shared" si="22"/>
        <v>High</v>
      </c>
      <c r="N318" t="str">
        <f t="shared" si="23"/>
        <v>No PIP</v>
      </c>
      <c r="O318" t="str">
        <f t="shared" ca="1" si="24"/>
        <v>Eligible</v>
      </c>
    </row>
    <row r="319" spans="1:15" x14ac:dyDescent="0.25">
      <c r="A319" t="s">
        <v>39</v>
      </c>
      <c r="B319">
        <v>25</v>
      </c>
      <c r="C319">
        <v>55000</v>
      </c>
      <c r="D319" t="s">
        <v>9</v>
      </c>
      <c r="E319" t="s">
        <v>10</v>
      </c>
      <c r="F319" t="s">
        <v>11</v>
      </c>
      <c r="G319" s="1">
        <v>43845</v>
      </c>
      <c r="H319" s="1" t="s">
        <v>12</v>
      </c>
      <c r="I319" s="1" t="s">
        <v>13</v>
      </c>
      <c r="J319" s="1" t="s">
        <v>32</v>
      </c>
      <c r="K319" s="4">
        <f t="shared" ca="1" si="20"/>
        <v>6.2</v>
      </c>
      <c r="L319" t="str">
        <f t="shared" si="21"/>
        <v>Low</v>
      </c>
      <c r="M319" t="str">
        <f t="shared" si="22"/>
        <v>Low</v>
      </c>
      <c r="N319" t="str">
        <f t="shared" si="23"/>
        <v>PIP</v>
      </c>
      <c r="O319" t="str">
        <f t="shared" ca="1" si="24"/>
        <v>Not Eligible</v>
      </c>
    </row>
    <row r="320" spans="1:15" x14ac:dyDescent="0.25">
      <c r="A320" t="s">
        <v>36</v>
      </c>
      <c r="B320">
        <v>50</v>
      </c>
      <c r="C320">
        <v>50000</v>
      </c>
      <c r="D320" t="s">
        <v>9</v>
      </c>
      <c r="E320" t="s">
        <v>23</v>
      </c>
      <c r="F320" t="s">
        <v>16</v>
      </c>
      <c r="G320" s="1">
        <v>43845</v>
      </c>
      <c r="H320" s="1" t="s">
        <v>29</v>
      </c>
      <c r="I320" s="1" t="s">
        <v>44</v>
      </c>
      <c r="J320" s="1" t="s">
        <v>19</v>
      </c>
      <c r="K320" s="4">
        <f t="shared" ca="1" si="20"/>
        <v>6.2</v>
      </c>
      <c r="L320" t="str">
        <f t="shared" si="21"/>
        <v>Low</v>
      </c>
      <c r="M320" t="str">
        <f t="shared" si="22"/>
        <v>Medium</v>
      </c>
      <c r="N320" t="str">
        <f t="shared" si="23"/>
        <v>No PIP</v>
      </c>
      <c r="O320" t="str">
        <f t="shared" ca="1" si="24"/>
        <v>Not Eligible</v>
      </c>
    </row>
    <row r="321" spans="1:15" x14ac:dyDescent="0.25">
      <c r="A321" t="s">
        <v>36</v>
      </c>
      <c r="B321">
        <v>35</v>
      </c>
      <c r="C321">
        <v>60000</v>
      </c>
      <c r="D321" t="s">
        <v>9</v>
      </c>
      <c r="E321" t="s">
        <v>23</v>
      </c>
      <c r="F321" t="s">
        <v>11</v>
      </c>
      <c r="G321" s="1">
        <v>43845</v>
      </c>
      <c r="H321" s="1" t="s">
        <v>12</v>
      </c>
      <c r="I321" s="1" t="s">
        <v>25</v>
      </c>
      <c r="J321" s="1" t="s">
        <v>44</v>
      </c>
      <c r="K321" s="4">
        <f t="shared" ca="1" si="20"/>
        <v>6.2</v>
      </c>
      <c r="L321" t="str">
        <f t="shared" si="21"/>
        <v>Medium</v>
      </c>
      <c r="M321" t="str">
        <f t="shared" si="22"/>
        <v>Low</v>
      </c>
      <c r="N321" t="str">
        <f t="shared" si="23"/>
        <v>PIP</v>
      </c>
      <c r="O321" t="str">
        <f t="shared" ca="1" si="24"/>
        <v>Not Eligible</v>
      </c>
    </row>
    <row r="322" spans="1:15" x14ac:dyDescent="0.25">
      <c r="A322" t="s">
        <v>41</v>
      </c>
      <c r="B322">
        <v>40</v>
      </c>
      <c r="C322">
        <v>60000</v>
      </c>
      <c r="D322" t="s">
        <v>26</v>
      </c>
      <c r="E322" t="s">
        <v>20</v>
      </c>
      <c r="F322" t="s">
        <v>31</v>
      </c>
      <c r="G322" s="1">
        <v>43845</v>
      </c>
      <c r="H322" s="1" t="s">
        <v>29</v>
      </c>
      <c r="I322" s="1" t="s">
        <v>18</v>
      </c>
      <c r="J322" s="1" t="s">
        <v>22</v>
      </c>
      <c r="K322" s="4">
        <f t="shared" ca="1" si="20"/>
        <v>6.2</v>
      </c>
      <c r="L322" t="str">
        <f t="shared" si="21"/>
        <v>Medium</v>
      </c>
      <c r="M322" t="str">
        <f t="shared" si="22"/>
        <v>Medium</v>
      </c>
      <c r="N322" t="str">
        <f t="shared" si="23"/>
        <v>No PIP</v>
      </c>
      <c r="O322" t="str">
        <f t="shared" ca="1" si="24"/>
        <v>Not Eligible</v>
      </c>
    </row>
    <row r="323" spans="1:15" x14ac:dyDescent="0.25">
      <c r="A323" t="s">
        <v>37</v>
      </c>
      <c r="B323">
        <v>25</v>
      </c>
      <c r="C323">
        <v>65000</v>
      </c>
      <c r="D323" t="s">
        <v>26</v>
      </c>
      <c r="E323" t="s">
        <v>20</v>
      </c>
      <c r="F323" t="s">
        <v>11</v>
      </c>
      <c r="G323" s="1">
        <v>43845</v>
      </c>
      <c r="H323" s="1" t="s">
        <v>17</v>
      </c>
      <c r="I323" s="1" t="s">
        <v>25</v>
      </c>
      <c r="J323" s="1" t="s">
        <v>22</v>
      </c>
      <c r="K323" s="4">
        <f t="shared" ref="K323:K386" ca="1" si="25">ROUND((TODAY()-G323)/365,1)</f>
        <v>6.2</v>
      </c>
      <c r="L323" t="str">
        <f t="shared" ref="L323:L386" si="26">IF(C323&lt;60000,"Low", IF(C323&lt;65000,"Medium","High"))</f>
        <v>High</v>
      </c>
      <c r="M323" t="str">
        <f t="shared" ref="M323:M386" si="27">IF(H323="A","High",IF(OR(H323="B",H323="C"),"Medium","Low"))</f>
        <v>Low</v>
      </c>
      <c r="N323" t="str">
        <f t="shared" ref="N323:N386" si="28">IF(M323="Low","PIP","No PIP")</f>
        <v>PIP</v>
      </c>
      <c r="O323" t="str">
        <f t="shared" ref="O323:O386" ca="1" si="29">IF(AND(M323="High",K323&gt;3),"Eligible","Not Eligible")</f>
        <v>Not Eligible</v>
      </c>
    </row>
    <row r="324" spans="1:15" x14ac:dyDescent="0.25">
      <c r="A324" t="s">
        <v>34</v>
      </c>
      <c r="B324">
        <v>40</v>
      </c>
      <c r="C324">
        <v>70000</v>
      </c>
      <c r="D324" t="s">
        <v>14</v>
      </c>
      <c r="E324" t="s">
        <v>15</v>
      </c>
      <c r="F324" t="s">
        <v>28</v>
      </c>
      <c r="G324" s="1">
        <v>43845</v>
      </c>
      <c r="H324" s="1" t="s">
        <v>17</v>
      </c>
      <c r="I324" s="1" t="s">
        <v>13</v>
      </c>
      <c r="J324" s="1" t="s">
        <v>22</v>
      </c>
      <c r="K324" s="4">
        <f t="shared" ca="1" si="25"/>
        <v>6.2</v>
      </c>
      <c r="L324" t="str">
        <f t="shared" si="26"/>
        <v>High</v>
      </c>
      <c r="M324" t="str">
        <f t="shared" si="27"/>
        <v>Low</v>
      </c>
      <c r="N324" t="str">
        <f t="shared" si="28"/>
        <v>PIP</v>
      </c>
      <c r="O324" t="str">
        <f t="shared" ca="1" si="29"/>
        <v>Not Eligible</v>
      </c>
    </row>
    <row r="325" spans="1:15" x14ac:dyDescent="0.25">
      <c r="A325" t="s">
        <v>40</v>
      </c>
      <c r="B325">
        <v>25</v>
      </c>
      <c r="C325">
        <v>60000</v>
      </c>
      <c r="D325" t="s">
        <v>9</v>
      </c>
      <c r="E325" t="s">
        <v>20</v>
      </c>
      <c r="F325" t="s">
        <v>31</v>
      </c>
      <c r="G325" s="1">
        <v>43845</v>
      </c>
      <c r="H325" s="1" t="s">
        <v>29</v>
      </c>
      <c r="I325" s="1" t="s">
        <v>25</v>
      </c>
      <c r="J325" s="1" t="s">
        <v>44</v>
      </c>
      <c r="K325" s="4">
        <f t="shared" ca="1" si="25"/>
        <v>6.2</v>
      </c>
      <c r="L325" t="str">
        <f t="shared" si="26"/>
        <v>Medium</v>
      </c>
      <c r="M325" t="str">
        <f t="shared" si="27"/>
        <v>Medium</v>
      </c>
      <c r="N325" t="str">
        <f t="shared" si="28"/>
        <v>No PIP</v>
      </c>
      <c r="O325" t="str">
        <f t="shared" ca="1" si="29"/>
        <v>Not Eligible</v>
      </c>
    </row>
    <row r="326" spans="1:15" x14ac:dyDescent="0.25">
      <c r="A326" t="s">
        <v>34</v>
      </c>
      <c r="B326">
        <v>35</v>
      </c>
      <c r="C326">
        <v>60216</v>
      </c>
      <c r="D326" t="s">
        <v>9</v>
      </c>
      <c r="E326" t="s">
        <v>10</v>
      </c>
      <c r="F326" t="s">
        <v>28</v>
      </c>
      <c r="G326" s="1">
        <v>43845</v>
      </c>
      <c r="H326" s="1" t="s">
        <v>29</v>
      </c>
      <c r="I326" s="1" t="s">
        <v>44</v>
      </c>
      <c r="J326" s="1" t="s">
        <v>22</v>
      </c>
      <c r="K326" s="4">
        <f t="shared" ca="1" si="25"/>
        <v>6.2</v>
      </c>
      <c r="L326" t="str">
        <f t="shared" si="26"/>
        <v>Medium</v>
      </c>
      <c r="M326" t="str">
        <f t="shared" si="27"/>
        <v>Medium</v>
      </c>
      <c r="N326" t="str">
        <f t="shared" si="28"/>
        <v>No PIP</v>
      </c>
      <c r="O326" t="str">
        <f t="shared" ca="1" si="29"/>
        <v>Not Eligible</v>
      </c>
    </row>
    <row r="327" spans="1:15" x14ac:dyDescent="0.25">
      <c r="A327" t="s">
        <v>36</v>
      </c>
      <c r="B327">
        <v>40</v>
      </c>
      <c r="C327">
        <v>55000</v>
      </c>
      <c r="D327" t="s">
        <v>26</v>
      </c>
      <c r="E327" t="s">
        <v>23</v>
      </c>
      <c r="F327" t="s">
        <v>31</v>
      </c>
      <c r="G327" s="1">
        <v>43845</v>
      </c>
      <c r="H327" s="1" t="s">
        <v>12</v>
      </c>
      <c r="I327" s="1" t="s">
        <v>18</v>
      </c>
      <c r="J327" s="1" t="s">
        <v>32</v>
      </c>
      <c r="K327" s="4">
        <f t="shared" ca="1" si="25"/>
        <v>6.2</v>
      </c>
      <c r="L327" t="str">
        <f t="shared" si="26"/>
        <v>Low</v>
      </c>
      <c r="M327" t="str">
        <f t="shared" si="27"/>
        <v>Low</v>
      </c>
      <c r="N327" t="str">
        <f t="shared" si="28"/>
        <v>PIP</v>
      </c>
      <c r="O327" t="str">
        <f t="shared" ca="1" si="29"/>
        <v>Not Eligible</v>
      </c>
    </row>
    <row r="328" spans="1:15" x14ac:dyDescent="0.25">
      <c r="A328" t="s">
        <v>40</v>
      </c>
      <c r="B328">
        <v>25</v>
      </c>
      <c r="C328">
        <v>55000</v>
      </c>
      <c r="D328" t="s">
        <v>14</v>
      </c>
      <c r="E328" t="s">
        <v>15</v>
      </c>
      <c r="F328" t="s">
        <v>30</v>
      </c>
      <c r="G328" s="1">
        <v>43845</v>
      </c>
      <c r="H328" s="1" t="s">
        <v>21</v>
      </c>
      <c r="I328" s="1" t="s">
        <v>13</v>
      </c>
      <c r="J328" s="1" t="s">
        <v>19</v>
      </c>
      <c r="K328" s="4">
        <f t="shared" ca="1" si="25"/>
        <v>6.2</v>
      </c>
      <c r="L328" t="str">
        <f t="shared" si="26"/>
        <v>Low</v>
      </c>
      <c r="M328" t="str">
        <f t="shared" si="27"/>
        <v>Medium</v>
      </c>
      <c r="N328" t="str">
        <f t="shared" si="28"/>
        <v>No PIP</v>
      </c>
      <c r="O328" t="str">
        <f t="shared" ca="1" si="29"/>
        <v>Not Eligible</v>
      </c>
    </row>
    <row r="329" spans="1:15" x14ac:dyDescent="0.25">
      <c r="A329" t="s">
        <v>38</v>
      </c>
      <c r="B329">
        <v>30</v>
      </c>
      <c r="C329">
        <v>70000</v>
      </c>
      <c r="D329" t="s">
        <v>26</v>
      </c>
      <c r="E329" t="s">
        <v>27</v>
      </c>
      <c r="F329" t="s">
        <v>31</v>
      </c>
      <c r="G329" s="1">
        <v>43845</v>
      </c>
      <c r="H329" s="1" t="s">
        <v>24</v>
      </c>
      <c r="I329" s="1" t="s">
        <v>18</v>
      </c>
      <c r="J329" s="1" t="s">
        <v>44</v>
      </c>
      <c r="K329" s="4">
        <f t="shared" ca="1" si="25"/>
        <v>6.2</v>
      </c>
      <c r="L329" t="str">
        <f t="shared" si="26"/>
        <v>High</v>
      </c>
      <c r="M329" t="str">
        <f t="shared" si="27"/>
        <v>High</v>
      </c>
      <c r="N329" t="str">
        <f t="shared" si="28"/>
        <v>No PIP</v>
      </c>
      <c r="O329" t="str">
        <f t="shared" ca="1" si="29"/>
        <v>Eligible</v>
      </c>
    </row>
    <row r="330" spans="1:15" x14ac:dyDescent="0.25">
      <c r="A330" t="s">
        <v>33</v>
      </c>
      <c r="B330">
        <v>35</v>
      </c>
      <c r="C330">
        <v>50000</v>
      </c>
      <c r="D330" t="s">
        <v>9</v>
      </c>
      <c r="E330" t="s">
        <v>15</v>
      </c>
      <c r="F330" t="s">
        <v>31</v>
      </c>
      <c r="G330" s="1">
        <v>43845</v>
      </c>
      <c r="H330" s="1" t="s">
        <v>17</v>
      </c>
      <c r="I330" s="1" t="s">
        <v>44</v>
      </c>
      <c r="J330" s="1" t="s">
        <v>44</v>
      </c>
      <c r="K330" s="4">
        <f t="shared" ca="1" si="25"/>
        <v>6.2</v>
      </c>
      <c r="L330" t="str">
        <f t="shared" si="26"/>
        <v>Low</v>
      </c>
      <c r="M330" t="str">
        <f t="shared" si="27"/>
        <v>Low</v>
      </c>
      <c r="N330" t="str">
        <f t="shared" si="28"/>
        <v>PIP</v>
      </c>
      <c r="O330" t="str">
        <f t="shared" ca="1" si="29"/>
        <v>Not Eligible</v>
      </c>
    </row>
    <row r="331" spans="1:15" x14ac:dyDescent="0.25">
      <c r="A331" t="s">
        <v>37</v>
      </c>
      <c r="B331">
        <v>40</v>
      </c>
      <c r="C331">
        <v>70000</v>
      </c>
      <c r="D331" t="s">
        <v>9</v>
      </c>
      <c r="E331" t="s">
        <v>15</v>
      </c>
      <c r="F331" t="s">
        <v>28</v>
      </c>
      <c r="G331" s="1">
        <v>43845</v>
      </c>
      <c r="H331" s="1" t="s">
        <v>21</v>
      </c>
      <c r="I331" s="1" t="s">
        <v>44</v>
      </c>
      <c r="J331" s="1" t="s">
        <v>22</v>
      </c>
      <c r="K331" s="4">
        <f t="shared" ca="1" si="25"/>
        <v>6.2</v>
      </c>
      <c r="L331" t="str">
        <f t="shared" si="26"/>
        <v>High</v>
      </c>
      <c r="M331" t="str">
        <f t="shared" si="27"/>
        <v>Medium</v>
      </c>
      <c r="N331" t="str">
        <f t="shared" si="28"/>
        <v>No PIP</v>
      </c>
      <c r="O331" t="str">
        <f t="shared" ca="1" si="29"/>
        <v>Not Eligible</v>
      </c>
    </row>
    <row r="332" spans="1:15" x14ac:dyDescent="0.25">
      <c r="A332" t="s">
        <v>33</v>
      </c>
      <c r="B332">
        <v>25</v>
      </c>
      <c r="C332">
        <v>70000</v>
      </c>
      <c r="D332" t="s">
        <v>9</v>
      </c>
      <c r="E332" t="s">
        <v>20</v>
      </c>
      <c r="F332" t="s">
        <v>11</v>
      </c>
      <c r="G332" s="1">
        <v>43845</v>
      </c>
      <c r="H332" s="1" t="s">
        <v>12</v>
      </c>
      <c r="I332" s="1" t="s">
        <v>44</v>
      </c>
      <c r="J332" s="1" t="s">
        <v>32</v>
      </c>
      <c r="K332" s="4">
        <f t="shared" ca="1" si="25"/>
        <v>6.2</v>
      </c>
      <c r="L332" t="str">
        <f t="shared" si="26"/>
        <v>High</v>
      </c>
      <c r="M332" t="str">
        <f t="shared" si="27"/>
        <v>Low</v>
      </c>
      <c r="N332" t="str">
        <f t="shared" si="28"/>
        <v>PIP</v>
      </c>
      <c r="O332" t="str">
        <f t="shared" ca="1" si="29"/>
        <v>Not Eligible</v>
      </c>
    </row>
    <row r="333" spans="1:15" x14ac:dyDescent="0.25">
      <c r="A333" t="s">
        <v>36</v>
      </c>
      <c r="B333">
        <v>30</v>
      </c>
      <c r="C333">
        <v>60000</v>
      </c>
      <c r="D333" t="s">
        <v>14</v>
      </c>
      <c r="E333" t="s">
        <v>10</v>
      </c>
      <c r="F333" t="s">
        <v>16</v>
      </c>
      <c r="G333" s="1">
        <v>43845</v>
      </c>
      <c r="H333" s="1" t="s">
        <v>21</v>
      </c>
      <c r="I333" s="1" t="s">
        <v>13</v>
      </c>
      <c r="J333" s="1" t="s">
        <v>44</v>
      </c>
      <c r="K333" s="4">
        <f t="shared" ca="1" si="25"/>
        <v>6.2</v>
      </c>
      <c r="L333" t="str">
        <f t="shared" si="26"/>
        <v>Medium</v>
      </c>
      <c r="M333" t="str">
        <f t="shared" si="27"/>
        <v>Medium</v>
      </c>
      <c r="N333" t="str">
        <f t="shared" si="28"/>
        <v>No PIP</v>
      </c>
      <c r="O333" t="str">
        <f t="shared" ca="1" si="29"/>
        <v>Not Eligible</v>
      </c>
    </row>
    <row r="334" spans="1:15" x14ac:dyDescent="0.25">
      <c r="A334" t="s">
        <v>34</v>
      </c>
      <c r="B334">
        <v>30</v>
      </c>
      <c r="C334">
        <v>60000</v>
      </c>
      <c r="D334" t="s">
        <v>9</v>
      </c>
      <c r="E334" t="s">
        <v>10</v>
      </c>
      <c r="F334" t="s">
        <v>30</v>
      </c>
      <c r="G334" s="1">
        <v>43845</v>
      </c>
      <c r="H334" s="1" t="s">
        <v>21</v>
      </c>
      <c r="I334" s="1" t="s">
        <v>44</v>
      </c>
      <c r="J334" s="1" t="s">
        <v>44</v>
      </c>
      <c r="K334" s="4">
        <f t="shared" ca="1" si="25"/>
        <v>6.2</v>
      </c>
      <c r="L334" t="str">
        <f t="shared" si="26"/>
        <v>Medium</v>
      </c>
      <c r="M334" t="str">
        <f t="shared" si="27"/>
        <v>Medium</v>
      </c>
      <c r="N334" t="str">
        <f t="shared" si="28"/>
        <v>No PIP</v>
      </c>
      <c r="O334" t="str">
        <f t="shared" ca="1" si="29"/>
        <v>Not Eligible</v>
      </c>
    </row>
    <row r="335" spans="1:15" x14ac:dyDescent="0.25">
      <c r="A335" t="s">
        <v>42</v>
      </c>
      <c r="B335">
        <v>50</v>
      </c>
      <c r="C335">
        <v>70000</v>
      </c>
      <c r="D335" t="s">
        <v>9</v>
      </c>
      <c r="E335" t="s">
        <v>20</v>
      </c>
      <c r="F335" t="s">
        <v>16</v>
      </c>
      <c r="G335" s="1">
        <v>43845</v>
      </c>
      <c r="H335" s="1" t="s">
        <v>29</v>
      </c>
      <c r="I335" s="1" t="s">
        <v>44</v>
      </c>
      <c r="J335" s="1" t="s">
        <v>32</v>
      </c>
      <c r="K335" s="4">
        <f t="shared" ca="1" si="25"/>
        <v>6.2</v>
      </c>
      <c r="L335" t="str">
        <f t="shared" si="26"/>
        <v>High</v>
      </c>
      <c r="M335" t="str">
        <f t="shared" si="27"/>
        <v>Medium</v>
      </c>
      <c r="N335" t="str">
        <f t="shared" si="28"/>
        <v>No PIP</v>
      </c>
      <c r="O335" t="str">
        <f t="shared" ca="1" si="29"/>
        <v>Not Eligible</v>
      </c>
    </row>
    <row r="336" spans="1:15" x14ac:dyDescent="0.25">
      <c r="A336" t="s">
        <v>34</v>
      </c>
      <c r="B336">
        <v>35</v>
      </c>
      <c r="C336">
        <v>55000</v>
      </c>
      <c r="D336" t="s">
        <v>26</v>
      </c>
      <c r="E336" t="s">
        <v>15</v>
      </c>
      <c r="F336" t="s">
        <v>31</v>
      </c>
      <c r="G336" s="1">
        <v>43845</v>
      </c>
      <c r="H336" s="1" t="s">
        <v>17</v>
      </c>
      <c r="I336" s="1" t="s">
        <v>13</v>
      </c>
      <c r="J336" s="1" t="s">
        <v>32</v>
      </c>
      <c r="K336" s="4">
        <f t="shared" ca="1" si="25"/>
        <v>6.2</v>
      </c>
      <c r="L336" t="str">
        <f t="shared" si="26"/>
        <v>Low</v>
      </c>
      <c r="M336" t="str">
        <f t="shared" si="27"/>
        <v>Low</v>
      </c>
      <c r="N336" t="str">
        <f t="shared" si="28"/>
        <v>PIP</v>
      </c>
      <c r="O336" t="str">
        <f t="shared" ca="1" si="29"/>
        <v>Not Eligible</v>
      </c>
    </row>
    <row r="337" spans="1:15" x14ac:dyDescent="0.25">
      <c r="A337" t="s">
        <v>41</v>
      </c>
      <c r="B337">
        <v>35</v>
      </c>
      <c r="C337">
        <v>55000</v>
      </c>
      <c r="D337" t="s">
        <v>9</v>
      </c>
      <c r="E337" t="s">
        <v>15</v>
      </c>
      <c r="F337" t="s">
        <v>16</v>
      </c>
      <c r="G337" s="1">
        <v>43845</v>
      </c>
      <c r="H337" s="1" t="s">
        <v>12</v>
      </c>
      <c r="I337" s="1" t="s">
        <v>25</v>
      </c>
      <c r="J337" s="1" t="s">
        <v>22</v>
      </c>
      <c r="K337" s="4">
        <f t="shared" ca="1" si="25"/>
        <v>6.2</v>
      </c>
      <c r="L337" t="str">
        <f t="shared" si="26"/>
        <v>Low</v>
      </c>
      <c r="M337" t="str">
        <f t="shared" si="27"/>
        <v>Low</v>
      </c>
      <c r="N337" t="str">
        <f t="shared" si="28"/>
        <v>PIP</v>
      </c>
      <c r="O337" t="str">
        <f t="shared" ca="1" si="29"/>
        <v>Not Eligible</v>
      </c>
    </row>
    <row r="338" spans="1:15" x14ac:dyDescent="0.25">
      <c r="A338" t="s">
        <v>33</v>
      </c>
      <c r="B338">
        <v>25</v>
      </c>
      <c r="C338">
        <v>70000</v>
      </c>
      <c r="D338" t="s">
        <v>9</v>
      </c>
      <c r="E338" t="s">
        <v>27</v>
      </c>
      <c r="F338" t="s">
        <v>16</v>
      </c>
      <c r="G338" s="1">
        <v>43845</v>
      </c>
      <c r="H338" s="1" t="s">
        <v>12</v>
      </c>
      <c r="I338" s="1" t="s">
        <v>13</v>
      </c>
      <c r="J338" s="1" t="s">
        <v>19</v>
      </c>
      <c r="K338" s="4">
        <f t="shared" ca="1" si="25"/>
        <v>6.2</v>
      </c>
      <c r="L338" t="str">
        <f t="shared" si="26"/>
        <v>High</v>
      </c>
      <c r="M338" t="str">
        <f t="shared" si="27"/>
        <v>Low</v>
      </c>
      <c r="N338" t="str">
        <f t="shared" si="28"/>
        <v>PIP</v>
      </c>
      <c r="O338" t="str">
        <f t="shared" ca="1" si="29"/>
        <v>Not Eligible</v>
      </c>
    </row>
    <row r="339" spans="1:15" x14ac:dyDescent="0.25">
      <c r="A339" t="s">
        <v>33</v>
      </c>
      <c r="B339">
        <v>35</v>
      </c>
      <c r="C339">
        <v>55000</v>
      </c>
      <c r="D339" t="s">
        <v>9</v>
      </c>
      <c r="E339" t="s">
        <v>20</v>
      </c>
      <c r="F339" t="s">
        <v>16</v>
      </c>
      <c r="G339" s="1">
        <v>43845</v>
      </c>
      <c r="H339" s="1" t="s">
        <v>24</v>
      </c>
      <c r="I339" s="1" t="s">
        <v>25</v>
      </c>
      <c r="J339" s="1" t="s">
        <v>44</v>
      </c>
      <c r="K339" s="4">
        <f t="shared" ca="1" si="25"/>
        <v>6.2</v>
      </c>
      <c r="L339" t="str">
        <f t="shared" si="26"/>
        <v>Low</v>
      </c>
      <c r="M339" t="str">
        <f t="shared" si="27"/>
        <v>High</v>
      </c>
      <c r="N339" t="str">
        <f t="shared" si="28"/>
        <v>No PIP</v>
      </c>
      <c r="O339" t="str">
        <f t="shared" ca="1" si="29"/>
        <v>Eligible</v>
      </c>
    </row>
    <row r="340" spans="1:15" x14ac:dyDescent="0.25">
      <c r="A340" t="s">
        <v>41</v>
      </c>
      <c r="B340">
        <v>25</v>
      </c>
      <c r="C340">
        <v>50000</v>
      </c>
      <c r="D340" t="s">
        <v>14</v>
      </c>
      <c r="E340" t="s">
        <v>20</v>
      </c>
      <c r="F340" t="s">
        <v>31</v>
      </c>
      <c r="G340" s="1">
        <v>43845</v>
      </c>
      <c r="H340" s="1" t="s">
        <v>29</v>
      </c>
      <c r="I340" s="1" t="s">
        <v>13</v>
      </c>
      <c r="J340" s="1" t="s">
        <v>22</v>
      </c>
      <c r="K340" s="4">
        <f t="shared" ca="1" si="25"/>
        <v>6.2</v>
      </c>
      <c r="L340" t="str">
        <f t="shared" si="26"/>
        <v>Low</v>
      </c>
      <c r="M340" t="str">
        <f t="shared" si="27"/>
        <v>Medium</v>
      </c>
      <c r="N340" t="str">
        <f t="shared" si="28"/>
        <v>No PIP</v>
      </c>
      <c r="O340" t="str">
        <f t="shared" ca="1" si="29"/>
        <v>Not Eligible</v>
      </c>
    </row>
    <row r="341" spans="1:15" x14ac:dyDescent="0.25">
      <c r="A341" t="s">
        <v>38</v>
      </c>
      <c r="B341">
        <v>35</v>
      </c>
      <c r="C341">
        <v>50000</v>
      </c>
      <c r="D341" t="s">
        <v>26</v>
      </c>
      <c r="E341" t="s">
        <v>10</v>
      </c>
      <c r="F341" t="s">
        <v>28</v>
      </c>
      <c r="G341" s="1">
        <v>43845</v>
      </c>
      <c r="H341" s="1" t="s">
        <v>21</v>
      </c>
      <c r="I341" s="1" t="s">
        <v>44</v>
      </c>
      <c r="J341" s="1" t="s">
        <v>22</v>
      </c>
      <c r="K341" s="4">
        <f t="shared" ca="1" si="25"/>
        <v>6.2</v>
      </c>
      <c r="L341" t="str">
        <f t="shared" si="26"/>
        <v>Low</v>
      </c>
      <c r="M341" t="str">
        <f t="shared" si="27"/>
        <v>Medium</v>
      </c>
      <c r="N341" t="str">
        <f t="shared" si="28"/>
        <v>No PIP</v>
      </c>
      <c r="O341" t="str">
        <f t="shared" ca="1" si="29"/>
        <v>Not Eligible</v>
      </c>
    </row>
    <row r="342" spans="1:15" x14ac:dyDescent="0.25">
      <c r="A342" t="s">
        <v>41</v>
      </c>
      <c r="B342">
        <v>30</v>
      </c>
      <c r="C342">
        <v>55000</v>
      </c>
      <c r="D342" t="s">
        <v>9</v>
      </c>
      <c r="E342" t="s">
        <v>15</v>
      </c>
      <c r="F342" t="s">
        <v>31</v>
      </c>
      <c r="G342" s="1">
        <v>43845</v>
      </c>
      <c r="H342" s="1" t="s">
        <v>24</v>
      </c>
      <c r="I342" s="1" t="s">
        <v>18</v>
      </c>
      <c r="J342" s="1" t="s">
        <v>32</v>
      </c>
      <c r="K342" s="4">
        <f t="shared" ca="1" si="25"/>
        <v>6.2</v>
      </c>
      <c r="L342" t="str">
        <f t="shared" si="26"/>
        <v>Low</v>
      </c>
      <c r="M342" t="str">
        <f t="shared" si="27"/>
        <v>High</v>
      </c>
      <c r="N342" t="str">
        <f t="shared" si="28"/>
        <v>No PIP</v>
      </c>
      <c r="O342" t="str">
        <f t="shared" ca="1" si="29"/>
        <v>Eligible</v>
      </c>
    </row>
    <row r="343" spans="1:15" x14ac:dyDescent="0.25">
      <c r="A343" t="s">
        <v>34</v>
      </c>
      <c r="B343">
        <v>40</v>
      </c>
      <c r="C343">
        <v>70000</v>
      </c>
      <c r="D343" t="s">
        <v>9</v>
      </c>
      <c r="E343" t="s">
        <v>20</v>
      </c>
      <c r="F343" t="s">
        <v>30</v>
      </c>
      <c r="G343" s="1">
        <v>43845</v>
      </c>
      <c r="H343" s="1" t="s">
        <v>21</v>
      </c>
      <c r="I343" s="1" t="s">
        <v>18</v>
      </c>
      <c r="J343" s="1" t="s">
        <v>22</v>
      </c>
      <c r="K343" s="4">
        <f t="shared" ca="1" si="25"/>
        <v>6.2</v>
      </c>
      <c r="L343" t="str">
        <f t="shared" si="26"/>
        <v>High</v>
      </c>
      <c r="M343" t="str">
        <f t="shared" si="27"/>
        <v>Medium</v>
      </c>
      <c r="N343" t="str">
        <f t="shared" si="28"/>
        <v>No PIP</v>
      </c>
      <c r="O343" t="str">
        <f t="shared" ca="1" si="29"/>
        <v>Not Eligible</v>
      </c>
    </row>
    <row r="344" spans="1:15" x14ac:dyDescent="0.25">
      <c r="A344" t="s">
        <v>36</v>
      </c>
      <c r="B344">
        <v>40</v>
      </c>
      <c r="C344">
        <v>65000</v>
      </c>
      <c r="D344" t="s">
        <v>14</v>
      </c>
      <c r="E344" t="s">
        <v>15</v>
      </c>
      <c r="F344" t="s">
        <v>31</v>
      </c>
      <c r="G344" s="1">
        <v>43845</v>
      </c>
      <c r="H344" s="1" t="s">
        <v>17</v>
      </c>
      <c r="I344" s="1" t="s">
        <v>44</v>
      </c>
      <c r="J344" s="1" t="s">
        <v>19</v>
      </c>
      <c r="K344" s="4">
        <f t="shared" ca="1" si="25"/>
        <v>6.2</v>
      </c>
      <c r="L344" t="str">
        <f t="shared" si="26"/>
        <v>High</v>
      </c>
      <c r="M344" t="str">
        <f t="shared" si="27"/>
        <v>Low</v>
      </c>
      <c r="N344" t="str">
        <f t="shared" si="28"/>
        <v>PIP</v>
      </c>
      <c r="O344" t="str">
        <f t="shared" ca="1" si="29"/>
        <v>Not Eligible</v>
      </c>
    </row>
    <row r="345" spans="1:15" x14ac:dyDescent="0.25">
      <c r="A345" t="s">
        <v>42</v>
      </c>
      <c r="B345">
        <v>40</v>
      </c>
      <c r="C345">
        <v>70000</v>
      </c>
      <c r="D345" t="s">
        <v>9</v>
      </c>
      <c r="E345" t="s">
        <v>20</v>
      </c>
      <c r="F345" t="s">
        <v>16</v>
      </c>
      <c r="G345" s="1">
        <v>43845</v>
      </c>
      <c r="H345" s="1" t="s">
        <v>17</v>
      </c>
      <c r="I345" s="1" t="s">
        <v>13</v>
      </c>
      <c r="J345" s="1" t="s">
        <v>44</v>
      </c>
      <c r="K345" s="4">
        <f t="shared" ca="1" si="25"/>
        <v>6.2</v>
      </c>
      <c r="L345" t="str">
        <f t="shared" si="26"/>
        <v>High</v>
      </c>
      <c r="M345" t="str">
        <f t="shared" si="27"/>
        <v>Low</v>
      </c>
      <c r="N345" t="str">
        <f t="shared" si="28"/>
        <v>PIP</v>
      </c>
      <c r="O345" t="str">
        <f t="shared" ca="1" si="29"/>
        <v>Not Eligible</v>
      </c>
    </row>
    <row r="346" spans="1:15" x14ac:dyDescent="0.25">
      <c r="A346" t="s">
        <v>37</v>
      </c>
      <c r="B346">
        <v>40</v>
      </c>
      <c r="C346">
        <v>60000</v>
      </c>
      <c r="D346" t="s">
        <v>9</v>
      </c>
      <c r="E346" t="s">
        <v>23</v>
      </c>
      <c r="F346" t="s">
        <v>16</v>
      </c>
      <c r="G346" s="1">
        <v>43845</v>
      </c>
      <c r="H346" s="1" t="s">
        <v>24</v>
      </c>
      <c r="I346" s="1" t="s">
        <v>44</v>
      </c>
      <c r="J346" s="1" t="s">
        <v>44</v>
      </c>
      <c r="K346" s="4">
        <f t="shared" ca="1" si="25"/>
        <v>6.2</v>
      </c>
      <c r="L346" t="str">
        <f t="shared" si="26"/>
        <v>Medium</v>
      </c>
      <c r="M346" t="str">
        <f t="shared" si="27"/>
        <v>High</v>
      </c>
      <c r="N346" t="str">
        <f t="shared" si="28"/>
        <v>No PIP</v>
      </c>
      <c r="O346" t="str">
        <f t="shared" ca="1" si="29"/>
        <v>Eligible</v>
      </c>
    </row>
    <row r="347" spans="1:15" x14ac:dyDescent="0.25">
      <c r="A347" t="s">
        <v>37</v>
      </c>
      <c r="B347">
        <v>25</v>
      </c>
      <c r="C347">
        <v>55000</v>
      </c>
      <c r="D347" t="s">
        <v>26</v>
      </c>
      <c r="E347" t="s">
        <v>10</v>
      </c>
      <c r="F347" t="s">
        <v>31</v>
      </c>
      <c r="G347" s="1">
        <v>43845</v>
      </c>
      <c r="H347" s="1" t="s">
        <v>17</v>
      </c>
      <c r="I347" s="1" t="s">
        <v>44</v>
      </c>
      <c r="J347" s="1" t="s">
        <v>19</v>
      </c>
      <c r="K347" s="4">
        <f t="shared" ca="1" si="25"/>
        <v>6.2</v>
      </c>
      <c r="L347" t="str">
        <f t="shared" si="26"/>
        <v>Low</v>
      </c>
      <c r="M347" t="str">
        <f t="shared" si="27"/>
        <v>Low</v>
      </c>
      <c r="N347" t="str">
        <f t="shared" si="28"/>
        <v>PIP</v>
      </c>
      <c r="O347" t="str">
        <f t="shared" ca="1" si="29"/>
        <v>Not Eligible</v>
      </c>
    </row>
    <row r="348" spans="1:15" x14ac:dyDescent="0.25">
      <c r="A348" t="s">
        <v>33</v>
      </c>
      <c r="B348">
        <v>40</v>
      </c>
      <c r="C348">
        <v>65000</v>
      </c>
      <c r="D348" t="s">
        <v>14</v>
      </c>
      <c r="E348" t="s">
        <v>23</v>
      </c>
      <c r="F348" t="s">
        <v>28</v>
      </c>
      <c r="G348" s="1">
        <v>43845</v>
      </c>
      <c r="H348" s="1" t="s">
        <v>12</v>
      </c>
      <c r="I348" s="1" t="s">
        <v>44</v>
      </c>
      <c r="J348" s="1" t="s">
        <v>19</v>
      </c>
      <c r="K348" s="4">
        <f t="shared" ca="1" si="25"/>
        <v>6.2</v>
      </c>
      <c r="L348" t="str">
        <f t="shared" si="26"/>
        <v>High</v>
      </c>
      <c r="M348" t="str">
        <f t="shared" si="27"/>
        <v>Low</v>
      </c>
      <c r="N348" t="str">
        <f t="shared" si="28"/>
        <v>PIP</v>
      </c>
      <c r="O348" t="str">
        <f t="shared" ca="1" si="29"/>
        <v>Not Eligible</v>
      </c>
    </row>
    <row r="349" spans="1:15" x14ac:dyDescent="0.25">
      <c r="A349" t="s">
        <v>37</v>
      </c>
      <c r="B349">
        <v>30</v>
      </c>
      <c r="C349">
        <v>60000</v>
      </c>
      <c r="D349" t="s">
        <v>14</v>
      </c>
      <c r="E349" t="s">
        <v>10</v>
      </c>
      <c r="F349" t="s">
        <v>16</v>
      </c>
      <c r="G349" s="1">
        <v>43845</v>
      </c>
      <c r="H349" s="1" t="s">
        <v>24</v>
      </c>
      <c r="I349" s="1" t="s">
        <v>44</v>
      </c>
      <c r="J349" s="1" t="s">
        <v>22</v>
      </c>
      <c r="K349" s="4">
        <f t="shared" ca="1" si="25"/>
        <v>6.2</v>
      </c>
      <c r="L349" t="str">
        <f t="shared" si="26"/>
        <v>Medium</v>
      </c>
      <c r="M349" t="str">
        <f t="shared" si="27"/>
        <v>High</v>
      </c>
      <c r="N349" t="str">
        <f t="shared" si="28"/>
        <v>No PIP</v>
      </c>
      <c r="O349" t="str">
        <f t="shared" ca="1" si="29"/>
        <v>Eligible</v>
      </c>
    </row>
    <row r="350" spans="1:15" x14ac:dyDescent="0.25">
      <c r="A350" t="s">
        <v>41</v>
      </c>
      <c r="B350">
        <v>40</v>
      </c>
      <c r="C350">
        <v>60216</v>
      </c>
      <c r="D350" t="s">
        <v>14</v>
      </c>
      <c r="E350" t="s">
        <v>10</v>
      </c>
      <c r="F350" t="s">
        <v>30</v>
      </c>
      <c r="G350" s="1">
        <v>43845</v>
      </c>
      <c r="H350" s="1" t="s">
        <v>21</v>
      </c>
      <c r="I350" s="1" t="s">
        <v>25</v>
      </c>
      <c r="J350" s="1" t="s">
        <v>22</v>
      </c>
      <c r="K350" s="4">
        <f t="shared" ca="1" si="25"/>
        <v>6.2</v>
      </c>
      <c r="L350" t="str">
        <f t="shared" si="26"/>
        <v>Medium</v>
      </c>
      <c r="M350" t="str">
        <f t="shared" si="27"/>
        <v>Medium</v>
      </c>
      <c r="N350" t="str">
        <f t="shared" si="28"/>
        <v>No PIP</v>
      </c>
      <c r="O350" t="str">
        <f t="shared" ca="1" si="29"/>
        <v>Not Eligible</v>
      </c>
    </row>
    <row r="351" spans="1:15" x14ac:dyDescent="0.25">
      <c r="A351" t="s">
        <v>39</v>
      </c>
      <c r="B351">
        <v>30</v>
      </c>
      <c r="C351">
        <v>65000</v>
      </c>
      <c r="D351" t="s">
        <v>14</v>
      </c>
      <c r="E351" t="s">
        <v>20</v>
      </c>
      <c r="F351" t="s">
        <v>11</v>
      </c>
      <c r="G351" s="1">
        <v>43845</v>
      </c>
      <c r="H351" s="1" t="s">
        <v>12</v>
      </c>
      <c r="I351" s="1" t="s">
        <v>44</v>
      </c>
      <c r="J351" s="1" t="s">
        <v>32</v>
      </c>
      <c r="K351" s="4">
        <f t="shared" ca="1" si="25"/>
        <v>6.2</v>
      </c>
      <c r="L351" t="str">
        <f t="shared" si="26"/>
        <v>High</v>
      </c>
      <c r="M351" t="str">
        <f t="shared" si="27"/>
        <v>Low</v>
      </c>
      <c r="N351" t="str">
        <f t="shared" si="28"/>
        <v>PIP</v>
      </c>
      <c r="O351" t="str">
        <f t="shared" ca="1" si="29"/>
        <v>Not Eligible</v>
      </c>
    </row>
    <row r="352" spans="1:15" x14ac:dyDescent="0.25">
      <c r="A352" t="s">
        <v>34</v>
      </c>
      <c r="B352">
        <v>25</v>
      </c>
      <c r="C352">
        <v>50000</v>
      </c>
      <c r="D352" t="s">
        <v>9</v>
      </c>
      <c r="E352" t="s">
        <v>23</v>
      </c>
      <c r="F352" t="s">
        <v>16</v>
      </c>
      <c r="G352" s="1">
        <v>43845</v>
      </c>
      <c r="H352" s="1" t="s">
        <v>12</v>
      </c>
      <c r="I352" s="1" t="s">
        <v>25</v>
      </c>
      <c r="J352" s="1" t="s">
        <v>19</v>
      </c>
      <c r="K352" s="4">
        <f t="shared" ca="1" si="25"/>
        <v>6.2</v>
      </c>
      <c r="L352" t="str">
        <f t="shared" si="26"/>
        <v>Low</v>
      </c>
      <c r="M352" t="str">
        <f t="shared" si="27"/>
        <v>Low</v>
      </c>
      <c r="N352" t="str">
        <f t="shared" si="28"/>
        <v>PIP</v>
      </c>
      <c r="O352" t="str">
        <f t="shared" ca="1" si="29"/>
        <v>Not Eligible</v>
      </c>
    </row>
    <row r="353" spans="1:15" x14ac:dyDescent="0.25">
      <c r="A353" t="s">
        <v>34</v>
      </c>
      <c r="B353">
        <v>40</v>
      </c>
      <c r="C353">
        <v>60000</v>
      </c>
      <c r="D353" t="s">
        <v>26</v>
      </c>
      <c r="E353" t="s">
        <v>10</v>
      </c>
      <c r="F353" t="s">
        <v>30</v>
      </c>
      <c r="G353" s="1">
        <v>43845</v>
      </c>
      <c r="H353" s="1" t="s">
        <v>12</v>
      </c>
      <c r="I353" s="1" t="s">
        <v>18</v>
      </c>
      <c r="J353" s="1" t="s">
        <v>32</v>
      </c>
      <c r="K353" s="4">
        <f t="shared" ca="1" si="25"/>
        <v>6.2</v>
      </c>
      <c r="L353" t="str">
        <f t="shared" si="26"/>
        <v>Medium</v>
      </c>
      <c r="M353" t="str">
        <f t="shared" si="27"/>
        <v>Low</v>
      </c>
      <c r="N353" t="str">
        <f t="shared" si="28"/>
        <v>PIP</v>
      </c>
      <c r="O353" t="str">
        <f t="shared" ca="1" si="29"/>
        <v>Not Eligible</v>
      </c>
    </row>
    <row r="354" spans="1:15" x14ac:dyDescent="0.25">
      <c r="A354" t="s">
        <v>39</v>
      </c>
      <c r="B354">
        <v>50</v>
      </c>
      <c r="C354">
        <v>50000</v>
      </c>
      <c r="D354" t="s">
        <v>26</v>
      </c>
      <c r="E354" t="s">
        <v>20</v>
      </c>
      <c r="F354" t="s">
        <v>31</v>
      </c>
      <c r="G354" s="1">
        <v>43845</v>
      </c>
      <c r="H354" s="1" t="s">
        <v>24</v>
      </c>
      <c r="I354" s="1" t="s">
        <v>25</v>
      </c>
      <c r="J354" s="1" t="s">
        <v>44</v>
      </c>
      <c r="K354" s="4">
        <f t="shared" ca="1" si="25"/>
        <v>6.2</v>
      </c>
      <c r="L354" t="str">
        <f t="shared" si="26"/>
        <v>Low</v>
      </c>
      <c r="M354" t="str">
        <f t="shared" si="27"/>
        <v>High</v>
      </c>
      <c r="N354" t="str">
        <f t="shared" si="28"/>
        <v>No PIP</v>
      </c>
      <c r="O354" t="str">
        <f t="shared" ca="1" si="29"/>
        <v>Eligible</v>
      </c>
    </row>
    <row r="355" spans="1:15" x14ac:dyDescent="0.25">
      <c r="A355" t="s">
        <v>40</v>
      </c>
      <c r="B355">
        <v>40</v>
      </c>
      <c r="C355">
        <v>60216</v>
      </c>
      <c r="D355" t="s">
        <v>26</v>
      </c>
      <c r="E355" t="s">
        <v>27</v>
      </c>
      <c r="F355" t="s">
        <v>16</v>
      </c>
      <c r="G355" s="1">
        <v>43845</v>
      </c>
      <c r="H355" s="1" t="s">
        <v>29</v>
      </c>
      <c r="I355" s="1" t="s">
        <v>44</v>
      </c>
      <c r="J355" s="1" t="s">
        <v>32</v>
      </c>
      <c r="K355" s="4">
        <f t="shared" ca="1" si="25"/>
        <v>6.2</v>
      </c>
      <c r="L355" t="str">
        <f t="shared" si="26"/>
        <v>Medium</v>
      </c>
      <c r="M355" t="str">
        <f t="shared" si="27"/>
        <v>Medium</v>
      </c>
      <c r="N355" t="str">
        <f t="shared" si="28"/>
        <v>No PIP</v>
      </c>
      <c r="O355" t="str">
        <f t="shared" ca="1" si="29"/>
        <v>Not Eligible</v>
      </c>
    </row>
    <row r="356" spans="1:15" x14ac:dyDescent="0.25">
      <c r="A356" t="s">
        <v>37</v>
      </c>
      <c r="B356">
        <v>50</v>
      </c>
      <c r="C356">
        <v>55000</v>
      </c>
      <c r="D356" t="s">
        <v>9</v>
      </c>
      <c r="E356" t="s">
        <v>23</v>
      </c>
      <c r="F356" t="s">
        <v>31</v>
      </c>
      <c r="G356" s="1">
        <v>43845</v>
      </c>
      <c r="H356" s="1" t="s">
        <v>29</v>
      </c>
      <c r="I356" s="1" t="s">
        <v>25</v>
      </c>
      <c r="J356" s="1" t="s">
        <v>44</v>
      </c>
      <c r="K356" s="4">
        <f t="shared" ca="1" si="25"/>
        <v>6.2</v>
      </c>
      <c r="L356" t="str">
        <f t="shared" si="26"/>
        <v>Low</v>
      </c>
      <c r="M356" t="str">
        <f t="shared" si="27"/>
        <v>Medium</v>
      </c>
      <c r="N356" t="str">
        <f t="shared" si="28"/>
        <v>No PIP</v>
      </c>
      <c r="O356" t="str">
        <f t="shared" ca="1" si="29"/>
        <v>Not Eligible</v>
      </c>
    </row>
    <row r="357" spans="1:15" x14ac:dyDescent="0.25">
      <c r="A357" t="s">
        <v>38</v>
      </c>
      <c r="B357">
        <v>35</v>
      </c>
      <c r="C357">
        <v>55000</v>
      </c>
      <c r="D357" t="s">
        <v>14</v>
      </c>
      <c r="E357" t="s">
        <v>23</v>
      </c>
      <c r="F357" t="s">
        <v>31</v>
      </c>
      <c r="G357" s="1">
        <v>43845</v>
      </c>
      <c r="H357" s="1" t="s">
        <v>29</v>
      </c>
      <c r="I357" s="1" t="s">
        <v>44</v>
      </c>
      <c r="J357" s="1" t="s">
        <v>19</v>
      </c>
      <c r="K357" s="4">
        <f t="shared" ca="1" si="25"/>
        <v>6.2</v>
      </c>
      <c r="L357" t="str">
        <f t="shared" si="26"/>
        <v>Low</v>
      </c>
      <c r="M357" t="str">
        <f t="shared" si="27"/>
        <v>Medium</v>
      </c>
      <c r="N357" t="str">
        <f t="shared" si="28"/>
        <v>No PIP</v>
      </c>
      <c r="O357" t="str">
        <f t="shared" ca="1" si="29"/>
        <v>Not Eligible</v>
      </c>
    </row>
    <row r="358" spans="1:15" x14ac:dyDescent="0.25">
      <c r="A358" t="s">
        <v>42</v>
      </c>
      <c r="B358">
        <v>50</v>
      </c>
      <c r="C358">
        <v>70000</v>
      </c>
      <c r="D358" t="s">
        <v>26</v>
      </c>
      <c r="E358" t="s">
        <v>15</v>
      </c>
      <c r="F358" t="s">
        <v>28</v>
      </c>
      <c r="G358" s="1">
        <v>43845</v>
      </c>
      <c r="H358" s="1" t="s">
        <v>29</v>
      </c>
      <c r="I358" s="1" t="s">
        <v>18</v>
      </c>
      <c r="J358" s="1" t="s">
        <v>22</v>
      </c>
      <c r="K358" s="4">
        <f t="shared" ca="1" si="25"/>
        <v>6.2</v>
      </c>
      <c r="L358" t="str">
        <f t="shared" si="26"/>
        <v>High</v>
      </c>
      <c r="M358" t="str">
        <f t="shared" si="27"/>
        <v>Medium</v>
      </c>
      <c r="N358" t="str">
        <f t="shared" si="28"/>
        <v>No PIP</v>
      </c>
      <c r="O358" t="str">
        <f t="shared" ca="1" si="29"/>
        <v>Not Eligible</v>
      </c>
    </row>
    <row r="359" spans="1:15" x14ac:dyDescent="0.25">
      <c r="A359" t="s">
        <v>39</v>
      </c>
      <c r="B359">
        <v>50</v>
      </c>
      <c r="C359">
        <v>50000</v>
      </c>
      <c r="D359" t="s">
        <v>9</v>
      </c>
      <c r="E359" t="s">
        <v>27</v>
      </c>
      <c r="F359" t="s">
        <v>11</v>
      </c>
      <c r="G359" s="1">
        <v>43845</v>
      </c>
      <c r="H359" s="1" t="s">
        <v>24</v>
      </c>
      <c r="I359" s="1" t="s">
        <v>25</v>
      </c>
      <c r="J359" s="1" t="s">
        <v>44</v>
      </c>
      <c r="K359" s="4">
        <f t="shared" ca="1" si="25"/>
        <v>6.2</v>
      </c>
      <c r="L359" t="str">
        <f t="shared" si="26"/>
        <v>Low</v>
      </c>
      <c r="M359" t="str">
        <f t="shared" si="27"/>
        <v>High</v>
      </c>
      <c r="N359" t="str">
        <f t="shared" si="28"/>
        <v>No PIP</v>
      </c>
      <c r="O359" t="str">
        <f t="shared" ca="1" si="29"/>
        <v>Eligible</v>
      </c>
    </row>
    <row r="360" spans="1:15" x14ac:dyDescent="0.25">
      <c r="A360" t="s">
        <v>34</v>
      </c>
      <c r="B360">
        <v>50</v>
      </c>
      <c r="C360">
        <v>65000</v>
      </c>
      <c r="D360" t="s">
        <v>9</v>
      </c>
      <c r="E360" t="s">
        <v>10</v>
      </c>
      <c r="F360" t="s">
        <v>31</v>
      </c>
      <c r="G360" s="1">
        <v>43845</v>
      </c>
      <c r="H360" s="1" t="s">
        <v>21</v>
      </c>
      <c r="I360" s="1" t="s">
        <v>18</v>
      </c>
      <c r="J360" s="1" t="s">
        <v>32</v>
      </c>
      <c r="K360" s="4">
        <f t="shared" ca="1" si="25"/>
        <v>6.2</v>
      </c>
      <c r="L360" t="str">
        <f t="shared" si="26"/>
        <v>High</v>
      </c>
      <c r="M360" t="str">
        <f t="shared" si="27"/>
        <v>Medium</v>
      </c>
      <c r="N360" t="str">
        <f t="shared" si="28"/>
        <v>No PIP</v>
      </c>
      <c r="O360" t="str">
        <f t="shared" ca="1" si="29"/>
        <v>Not Eligible</v>
      </c>
    </row>
    <row r="361" spans="1:15" x14ac:dyDescent="0.25">
      <c r="A361" t="s">
        <v>34</v>
      </c>
      <c r="B361">
        <v>35</v>
      </c>
      <c r="C361">
        <v>55000</v>
      </c>
      <c r="D361" t="s">
        <v>26</v>
      </c>
      <c r="E361" t="s">
        <v>15</v>
      </c>
      <c r="F361" t="s">
        <v>30</v>
      </c>
      <c r="G361" s="1">
        <v>43845</v>
      </c>
      <c r="H361" s="1" t="s">
        <v>12</v>
      </c>
      <c r="I361" s="1" t="s">
        <v>13</v>
      </c>
      <c r="J361" s="1" t="s">
        <v>44</v>
      </c>
      <c r="K361" s="4">
        <f t="shared" ca="1" si="25"/>
        <v>6.2</v>
      </c>
      <c r="L361" t="str">
        <f t="shared" si="26"/>
        <v>Low</v>
      </c>
      <c r="M361" t="str">
        <f t="shared" si="27"/>
        <v>Low</v>
      </c>
      <c r="N361" t="str">
        <f t="shared" si="28"/>
        <v>PIP</v>
      </c>
      <c r="O361" t="str">
        <f t="shared" ca="1" si="29"/>
        <v>Not Eligible</v>
      </c>
    </row>
    <row r="362" spans="1:15" x14ac:dyDescent="0.25">
      <c r="A362" t="s">
        <v>41</v>
      </c>
      <c r="B362">
        <v>25</v>
      </c>
      <c r="C362">
        <v>65000</v>
      </c>
      <c r="D362" t="s">
        <v>26</v>
      </c>
      <c r="E362" t="s">
        <v>10</v>
      </c>
      <c r="F362" t="s">
        <v>30</v>
      </c>
      <c r="G362" s="1">
        <v>43845</v>
      </c>
      <c r="H362" s="1" t="s">
        <v>21</v>
      </c>
      <c r="I362" s="1" t="s">
        <v>13</v>
      </c>
      <c r="J362" s="1" t="s">
        <v>22</v>
      </c>
      <c r="K362" s="4">
        <f t="shared" ca="1" si="25"/>
        <v>6.2</v>
      </c>
      <c r="L362" t="str">
        <f t="shared" si="26"/>
        <v>High</v>
      </c>
      <c r="M362" t="str">
        <f t="shared" si="27"/>
        <v>Medium</v>
      </c>
      <c r="N362" t="str">
        <f t="shared" si="28"/>
        <v>No PIP</v>
      </c>
      <c r="O362" t="str">
        <f t="shared" ca="1" si="29"/>
        <v>Not Eligible</v>
      </c>
    </row>
    <row r="363" spans="1:15" x14ac:dyDescent="0.25">
      <c r="A363" t="s">
        <v>36</v>
      </c>
      <c r="B363">
        <v>50</v>
      </c>
      <c r="C363">
        <v>65000</v>
      </c>
      <c r="D363" t="s">
        <v>9</v>
      </c>
      <c r="E363" t="s">
        <v>23</v>
      </c>
      <c r="F363" t="s">
        <v>11</v>
      </c>
      <c r="G363" s="1">
        <v>43845</v>
      </c>
      <c r="H363" s="1" t="s">
        <v>17</v>
      </c>
      <c r="I363" s="1" t="s">
        <v>44</v>
      </c>
      <c r="J363" s="1" t="s">
        <v>22</v>
      </c>
      <c r="K363" s="4">
        <f t="shared" ca="1" si="25"/>
        <v>6.2</v>
      </c>
      <c r="L363" t="str">
        <f t="shared" si="26"/>
        <v>High</v>
      </c>
      <c r="M363" t="str">
        <f t="shared" si="27"/>
        <v>Low</v>
      </c>
      <c r="N363" t="str">
        <f t="shared" si="28"/>
        <v>PIP</v>
      </c>
      <c r="O363" t="str">
        <f t="shared" ca="1" si="29"/>
        <v>Not Eligible</v>
      </c>
    </row>
    <row r="364" spans="1:15" x14ac:dyDescent="0.25">
      <c r="A364" t="s">
        <v>39</v>
      </c>
      <c r="B364">
        <v>25</v>
      </c>
      <c r="C364">
        <v>60000</v>
      </c>
      <c r="D364" t="s">
        <v>26</v>
      </c>
      <c r="E364" t="s">
        <v>23</v>
      </c>
      <c r="F364" t="s">
        <v>16</v>
      </c>
      <c r="G364" s="1">
        <v>43845</v>
      </c>
      <c r="H364" s="1" t="s">
        <v>29</v>
      </c>
      <c r="I364" s="1" t="s">
        <v>25</v>
      </c>
      <c r="J364" s="1" t="s">
        <v>44</v>
      </c>
      <c r="K364" s="4">
        <f t="shared" ca="1" si="25"/>
        <v>6.2</v>
      </c>
      <c r="L364" t="str">
        <f t="shared" si="26"/>
        <v>Medium</v>
      </c>
      <c r="M364" t="str">
        <f t="shared" si="27"/>
        <v>Medium</v>
      </c>
      <c r="N364" t="str">
        <f t="shared" si="28"/>
        <v>No PIP</v>
      </c>
      <c r="O364" t="str">
        <f t="shared" ca="1" si="29"/>
        <v>Not Eligible</v>
      </c>
    </row>
    <row r="365" spans="1:15" x14ac:dyDescent="0.25">
      <c r="A365" t="s">
        <v>38</v>
      </c>
      <c r="B365">
        <v>50</v>
      </c>
      <c r="C365">
        <v>50000</v>
      </c>
      <c r="D365" t="s">
        <v>9</v>
      </c>
      <c r="E365" t="s">
        <v>20</v>
      </c>
      <c r="F365" t="s">
        <v>31</v>
      </c>
      <c r="G365" s="1">
        <v>43845</v>
      </c>
      <c r="H365" s="1" t="s">
        <v>24</v>
      </c>
      <c r="I365" s="1" t="s">
        <v>18</v>
      </c>
      <c r="J365" s="1" t="s">
        <v>22</v>
      </c>
      <c r="K365" s="4">
        <f t="shared" ca="1" si="25"/>
        <v>6.2</v>
      </c>
      <c r="L365" t="str">
        <f t="shared" si="26"/>
        <v>Low</v>
      </c>
      <c r="M365" t="str">
        <f t="shared" si="27"/>
        <v>High</v>
      </c>
      <c r="N365" t="str">
        <f t="shared" si="28"/>
        <v>No PIP</v>
      </c>
      <c r="O365" t="str">
        <f t="shared" ca="1" si="29"/>
        <v>Eligible</v>
      </c>
    </row>
    <row r="366" spans="1:15" x14ac:dyDescent="0.25">
      <c r="A366" t="s">
        <v>42</v>
      </c>
      <c r="B366">
        <v>50</v>
      </c>
      <c r="C366">
        <v>60000</v>
      </c>
      <c r="D366" t="s">
        <v>26</v>
      </c>
      <c r="E366" t="s">
        <v>23</v>
      </c>
      <c r="F366" t="s">
        <v>16</v>
      </c>
      <c r="G366" s="1">
        <v>43845</v>
      </c>
      <c r="H366" s="1" t="s">
        <v>21</v>
      </c>
      <c r="I366" s="1" t="s">
        <v>25</v>
      </c>
      <c r="J366" s="1" t="s">
        <v>22</v>
      </c>
      <c r="K366" s="4">
        <f t="shared" ca="1" si="25"/>
        <v>6.2</v>
      </c>
      <c r="L366" t="str">
        <f t="shared" si="26"/>
        <v>Medium</v>
      </c>
      <c r="M366" t="str">
        <f t="shared" si="27"/>
        <v>Medium</v>
      </c>
      <c r="N366" t="str">
        <f t="shared" si="28"/>
        <v>No PIP</v>
      </c>
      <c r="O366" t="str">
        <f t="shared" ca="1" si="29"/>
        <v>Not Eligible</v>
      </c>
    </row>
    <row r="367" spans="1:15" x14ac:dyDescent="0.25">
      <c r="A367" t="s">
        <v>35</v>
      </c>
      <c r="B367">
        <v>35</v>
      </c>
      <c r="C367">
        <v>60216</v>
      </c>
      <c r="D367" t="s">
        <v>14</v>
      </c>
      <c r="E367" t="s">
        <v>20</v>
      </c>
      <c r="F367" t="s">
        <v>30</v>
      </c>
      <c r="G367" s="1">
        <v>43845</v>
      </c>
      <c r="H367" s="1" t="s">
        <v>12</v>
      </c>
      <c r="I367" s="1" t="s">
        <v>18</v>
      </c>
      <c r="J367" s="1" t="s">
        <v>44</v>
      </c>
      <c r="K367" s="4">
        <f t="shared" ca="1" si="25"/>
        <v>6.2</v>
      </c>
      <c r="L367" t="str">
        <f t="shared" si="26"/>
        <v>Medium</v>
      </c>
      <c r="M367" t="str">
        <f t="shared" si="27"/>
        <v>Low</v>
      </c>
      <c r="N367" t="str">
        <f t="shared" si="28"/>
        <v>PIP</v>
      </c>
      <c r="O367" t="str">
        <f t="shared" ca="1" si="29"/>
        <v>Not Eligible</v>
      </c>
    </row>
    <row r="368" spans="1:15" x14ac:dyDescent="0.25">
      <c r="A368" t="s">
        <v>35</v>
      </c>
      <c r="B368">
        <v>30</v>
      </c>
      <c r="C368">
        <v>65000</v>
      </c>
      <c r="D368" t="s">
        <v>14</v>
      </c>
      <c r="E368" t="s">
        <v>20</v>
      </c>
      <c r="F368" t="s">
        <v>28</v>
      </c>
      <c r="G368" s="1">
        <v>43845</v>
      </c>
      <c r="H368" s="1" t="s">
        <v>24</v>
      </c>
      <c r="I368" s="1" t="s">
        <v>25</v>
      </c>
      <c r="J368" s="1" t="s">
        <v>44</v>
      </c>
      <c r="K368" s="4">
        <f t="shared" ca="1" si="25"/>
        <v>6.2</v>
      </c>
      <c r="L368" t="str">
        <f t="shared" si="26"/>
        <v>High</v>
      </c>
      <c r="M368" t="str">
        <f t="shared" si="27"/>
        <v>High</v>
      </c>
      <c r="N368" t="str">
        <f t="shared" si="28"/>
        <v>No PIP</v>
      </c>
      <c r="O368" t="str">
        <f t="shared" ca="1" si="29"/>
        <v>Eligible</v>
      </c>
    </row>
    <row r="369" spans="1:15" x14ac:dyDescent="0.25">
      <c r="A369" t="s">
        <v>36</v>
      </c>
      <c r="B369">
        <v>50</v>
      </c>
      <c r="C369">
        <v>50000</v>
      </c>
      <c r="D369" t="s">
        <v>26</v>
      </c>
      <c r="E369" t="s">
        <v>20</v>
      </c>
      <c r="F369" t="s">
        <v>28</v>
      </c>
      <c r="G369" s="1">
        <v>43845</v>
      </c>
      <c r="H369" s="1" t="s">
        <v>21</v>
      </c>
      <c r="I369" s="1" t="s">
        <v>13</v>
      </c>
      <c r="J369" s="1" t="s">
        <v>19</v>
      </c>
      <c r="K369" s="4">
        <f t="shared" ca="1" si="25"/>
        <v>6.2</v>
      </c>
      <c r="L369" t="str">
        <f t="shared" si="26"/>
        <v>Low</v>
      </c>
      <c r="M369" t="str">
        <f t="shared" si="27"/>
        <v>Medium</v>
      </c>
      <c r="N369" t="str">
        <f t="shared" si="28"/>
        <v>No PIP</v>
      </c>
      <c r="O369" t="str">
        <f t="shared" ca="1" si="29"/>
        <v>Not Eligible</v>
      </c>
    </row>
    <row r="370" spans="1:15" x14ac:dyDescent="0.25">
      <c r="A370" t="s">
        <v>39</v>
      </c>
      <c r="B370">
        <v>25</v>
      </c>
      <c r="C370">
        <v>60216</v>
      </c>
      <c r="D370" t="s">
        <v>9</v>
      </c>
      <c r="E370" t="s">
        <v>20</v>
      </c>
      <c r="F370" t="s">
        <v>31</v>
      </c>
      <c r="G370" s="1">
        <v>43845</v>
      </c>
      <c r="H370" s="1" t="s">
        <v>17</v>
      </c>
      <c r="I370" s="1" t="s">
        <v>13</v>
      </c>
      <c r="J370" s="1" t="s">
        <v>19</v>
      </c>
      <c r="K370" s="4">
        <f t="shared" ca="1" si="25"/>
        <v>6.2</v>
      </c>
      <c r="L370" t="str">
        <f t="shared" si="26"/>
        <v>Medium</v>
      </c>
      <c r="M370" t="str">
        <f t="shared" si="27"/>
        <v>Low</v>
      </c>
      <c r="N370" t="str">
        <f t="shared" si="28"/>
        <v>PIP</v>
      </c>
      <c r="O370" t="str">
        <f t="shared" ca="1" si="29"/>
        <v>Not Eligible</v>
      </c>
    </row>
    <row r="371" spans="1:15" x14ac:dyDescent="0.25">
      <c r="A371" t="s">
        <v>39</v>
      </c>
      <c r="B371">
        <v>50</v>
      </c>
      <c r="C371">
        <v>70000</v>
      </c>
      <c r="D371" t="s">
        <v>9</v>
      </c>
      <c r="E371" t="s">
        <v>20</v>
      </c>
      <c r="F371" t="s">
        <v>28</v>
      </c>
      <c r="G371" s="1">
        <v>43845</v>
      </c>
      <c r="H371" s="1" t="s">
        <v>29</v>
      </c>
      <c r="I371" s="1" t="s">
        <v>13</v>
      </c>
      <c r="J371" s="1" t="s">
        <v>19</v>
      </c>
      <c r="K371" s="4">
        <f t="shared" ca="1" si="25"/>
        <v>6.2</v>
      </c>
      <c r="L371" t="str">
        <f t="shared" si="26"/>
        <v>High</v>
      </c>
      <c r="M371" t="str">
        <f t="shared" si="27"/>
        <v>Medium</v>
      </c>
      <c r="N371" t="str">
        <f t="shared" si="28"/>
        <v>No PIP</v>
      </c>
      <c r="O371" t="str">
        <f t="shared" ca="1" si="29"/>
        <v>Not Eligible</v>
      </c>
    </row>
    <row r="372" spans="1:15" x14ac:dyDescent="0.25">
      <c r="A372" t="s">
        <v>40</v>
      </c>
      <c r="B372">
        <v>30</v>
      </c>
      <c r="C372">
        <v>55000</v>
      </c>
      <c r="D372" t="s">
        <v>26</v>
      </c>
      <c r="E372" t="s">
        <v>15</v>
      </c>
      <c r="F372" t="s">
        <v>30</v>
      </c>
      <c r="G372" s="1">
        <v>43845</v>
      </c>
      <c r="H372" s="1" t="s">
        <v>21</v>
      </c>
      <c r="I372" s="1" t="s">
        <v>44</v>
      </c>
      <c r="J372" s="1" t="s">
        <v>19</v>
      </c>
      <c r="K372" s="4">
        <f t="shared" ca="1" si="25"/>
        <v>6.2</v>
      </c>
      <c r="L372" t="str">
        <f t="shared" si="26"/>
        <v>Low</v>
      </c>
      <c r="M372" t="str">
        <f t="shared" si="27"/>
        <v>Medium</v>
      </c>
      <c r="N372" t="str">
        <f t="shared" si="28"/>
        <v>No PIP</v>
      </c>
      <c r="O372" t="str">
        <f t="shared" ca="1" si="29"/>
        <v>Not Eligible</v>
      </c>
    </row>
    <row r="373" spans="1:15" x14ac:dyDescent="0.25">
      <c r="A373" t="s">
        <v>38</v>
      </c>
      <c r="B373">
        <v>40</v>
      </c>
      <c r="C373">
        <v>55000</v>
      </c>
      <c r="D373" t="s">
        <v>14</v>
      </c>
      <c r="E373" t="s">
        <v>20</v>
      </c>
      <c r="F373" t="s">
        <v>30</v>
      </c>
      <c r="G373" s="1">
        <v>43845</v>
      </c>
      <c r="H373" s="1" t="s">
        <v>21</v>
      </c>
      <c r="I373" s="1" t="s">
        <v>25</v>
      </c>
      <c r="J373" s="1" t="s">
        <v>19</v>
      </c>
      <c r="K373" s="4">
        <f t="shared" ca="1" si="25"/>
        <v>6.2</v>
      </c>
      <c r="L373" t="str">
        <f t="shared" si="26"/>
        <v>Low</v>
      </c>
      <c r="M373" t="str">
        <f t="shared" si="27"/>
        <v>Medium</v>
      </c>
      <c r="N373" t="str">
        <f t="shared" si="28"/>
        <v>No PIP</v>
      </c>
      <c r="O373" t="str">
        <f t="shared" ca="1" si="29"/>
        <v>Not Eligible</v>
      </c>
    </row>
    <row r="374" spans="1:15" x14ac:dyDescent="0.25">
      <c r="A374" t="s">
        <v>33</v>
      </c>
      <c r="B374">
        <v>35</v>
      </c>
      <c r="C374">
        <v>70000</v>
      </c>
      <c r="D374" t="s">
        <v>9</v>
      </c>
      <c r="E374" t="s">
        <v>10</v>
      </c>
      <c r="F374" t="s">
        <v>30</v>
      </c>
      <c r="G374" s="1">
        <v>43845</v>
      </c>
      <c r="H374" s="1" t="s">
        <v>12</v>
      </c>
      <c r="I374" s="1" t="s">
        <v>44</v>
      </c>
      <c r="J374" s="1" t="s">
        <v>44</v>
      </c>
      <c r="K374" s="4">
        <f t="shared" ca="1" si="25"/>
        <v>6.2</v>
      </c>
      <c r="L374" t="str">
        <f t="shared" si="26"/>
        <v>High</v>
      </c>
      <c r="M374" t="str">
        <f t="shared" si="27"/>
        <v>Low</v>
      </c>
      <c r="N374" t="str">
        <f t="shared" si="28"/>
        <v>PIP</v>
      </c>
      <c r="O374" t="str">
        <f t="shared" ca="1" si="29"/>
        <v>Not Eligible</v>
      </c>
    </row>
    <row r="375" spans="1:15" x14ac:dyDescent="0.25">
      <c r="A375" t="s">
        <v>42</v>
      </c>
      <c r="B375">
        <v>25</v>
      </c>
      <c r="C375">
        <v>70000</v>
      </c>
      <c r="D375" t="s">
        <v>26</v>
      </c>
      <c r="E375" t="s">
        <v>15</v>
      </c>
      <c r="F375" t="s">
        <v>30</v>
      </c>
      <c r="G375" s="1">
        <v>43845</v>
      </c>
      <c r="H375" s="1" t="s">
        <v>21</v>
      </c>
      <c r="I375" s="1" t="s">
        <v>25</v>
      </c>
      <c r="J375" s="1" t="s">
        <v>19</v>
      </c>
      <c r="K375" s="4">
        <f t="shared" ca="1" si="25"/>
        <v>6.2</v>
      </c>
      <c r="L375" t="str">
        <f t="shared" si="26"/>
        <v>High</v>
      </c>
      <c r="M375" t="str">
        <f t="shared" si="27"/>
        <v>Medium</v>
      </c>
      <c r="N375" t="str">
        <f t="shared" si="28"/>
        <v>No PIP</v>
      </c>
      <c r="O375" t="str">
        <f t="shared" ca="1" si="29"/>
        <v>Not Eligible</v>
      </c>
    </row>
    <row r="376" spans="1:15" x14ac:dyDescent="0.25">
      <c r="A376" t="s">
        <v>40</v>
      </c>
      <c r="B376">
        <v>40</v>
      </c>
      <c r="C376">
        <v>70000</v>
      </c>
      <c r="D376" t="s">
        <v>14</v>
      </c>
      <c r="E376" t="s">
        <v>20</v>
      </c>
      <c r="F376" t="s">
        <v>16</v>
      </c>
      <c r="G376" s="1">
        <v>43845</v>
      </c>
      <c r="H376" s="1" t="s">
        <v>29</v>
      </c>
      <c r="I376" s="1" t="s">
        <v>44</v>
      </c>
      <c r="J376" s="1" t="s">
        <v>22</v>
      </c>
      <c r="K376" s="4">
        <f t="shared" ca="1" si="25"/>
        <v>6.2</v>
      </c>
      <c r="L376" t="str">
        <f t="shared" si="26"/>
        <v>High</v>
      </c>
      <c r="M376" t="str">
        <f t="shared" si="27"/>
        <v>Medium</v>
      </c>
      <c r="N376" t="str">
        <f t="shared" si="28"/>
        <v>No PIP</v>
      </c>
      <c r="O376" t="str">
        <f t="shared" ca="1" si="29"/>
        <v>Not Eligible</v>
      </c>
    </row>
    <row r="377" spans="1:15" x14ac:dyDescent="0.25">
      <c r="A377" t="s">
        <v>33</v>
      </c>
      <c r="B377">
        <v>50</v>
      </c>
      <c r="C377">
        <v>70000</v>
      </c>
      <c r="D377" t="s">
        <v>26</v>
      </c>
      <c r="E377" t="s">
        <v>23</v>
      </c>
      <c r="F377" t="s">
        <v>30</v>
      </c>
      <c r="G377" s="1">
        <v>43845</v>
      </c>
      <c r="H377" s="1" t="s">
        <v>21</v>
      </c>
      <c r="I377" s="1" t="s">
        <v>13</v>
      </c>
      <c r="J377" s="1" t="s">
        <v>44</v>
      </c>
      <c r="K377" s="4">
        <f t="shared" ca="1" si="25"/>
        <v>6.2</v>
      </c>
      <c r="L377" t="str">
        <f t="shared" si="26"/>
        <v>High</v>
      </c>
      <c r="M377" t="str">
        <f t="shared" si="27"/>
        <v>Medium</v>
      </c>
      <c r="N377" t="str">
        <f t="shared" si="28"/>
        <v>No PIP</v>
      </c>
      <c r="O377" t="str">
        <f t="shared" ca="1" si="29"/>
        <v>Not Eligible</v>
      </c>
    </row>
    <row r="378" spans="1:15" x14ac:dyDescent="0.25">
      <c r="A378" t="s">
        <v>36</v>
      </c>
      <c r="B378">
        <v>40</v>
      </c>
      <c r="C378">
        <v>65000</v>
      </c>
      <c r="D378" t="s">
        <v>9</v>
      </c>
      <c r="E378" t="s">
        <v>27</v>
      </c>
      <c r="F378" t="s">
        <v>28</v>
      </c>
      <c r="G378" s="1">
        <v>43845</v>
      </c>
      <c r="H378" s="1" t="s">
        <v>17</v>
      </c>
      <c r="I378" s="1" t="s">
        <v>44</v>
      </c>
      <c r="J378" s="1" t="s">
        <v>44</v>
      </c>
      <c r="K378" s="4">
        <f t="shared" ca="1" si="25"/>
        <v>6.2</v>
      </c>
      <c r="L378" t="str">
        <f t="shared" si="26"/>
        <v>High</v>
      </c>
      <c r="M378" t="str">
        <f t="shared" si="27"/>
        <v>Low</v>
      </c>
      <c r="N378" t="str">
        <f t="shared" si="28"/>
        <v>PIP</v>
      </c>
      <c r="O378" t="str">
        <f t="shared" ca="1" si="29"/>
        <v>Not Eligible</v>
      </c>
    </row>
    <row r="379" spans="1:15" x14ac:dyDescent="0.25">
      <c r="A379" t="s">
        <v>39</v>
      </c>
      <c r="B379">
        <v>35</v>
      </c>
      <c r="C379">
        <v>55000</v>
      </c>
      <c r="D379" t="s">
        <v>14</v>
      </c>
      <c r="E379" t="s">
        <v>27</v>
      </c>
      <c r="F379" t="s">
        <v>28</v>
      </c>
      <c r="G379" s="1">
        <v>43845</v>
      </c>
      <c r="H379" s="1" t="s">
        <v>12</v>
      </c>
      <c r="I379" s="1" t="s">
        <v>44</v>
      </c>
      <c r="J379" s="1" t="s">
        <v>19</v>
      </c>
      <c r="K379" s="4">
        <f t="shared" ca="1" si="25"/>
        <v>6.2</v>
      </c>
      <c r="L379" t="str">
        <f t="shared" si="26"/>
        <v>Low</v>
      </c>
      <c r="M379" t="str">
        <f t="shared" si="27"/>
        <v>Low</v>
      </c>
      <c r="N379" t="str">
        <f t="shared" si="28"/>
        <v>PIP</v>
      </c>
      <c r="O379" t="str">
        <f t="shared" ca="1" si="29"/>
        <v>Not Eligible</v>
      </c>
    </row>
    <row r="380" spans="1:15" x14ac:dyDescent="0.25">
      <c r="A380" t="s">
        <v>36</v>
      </c>
      <c r="B380">
        <v>30</v>
      </c>
      <c r="C380">
        <v>60000</v>
      </c>
      <c r="D380" t="s">
        <v>9</v>
      </c>
      <c r="E380" t="s">
        <v>27</v>
      </c>
      <c r="F380" t="s">
        <v>16</v>
      </c>
      <c r="G380" s="1">
        <v>43845</v>
      </c>
      <c r="H380" s="1" t="s">
        <v>12</v>
      </c>
      <c r="I380" s="1" t="s">
        <v>18</v>
      </c>
      <c r="J380" s="1" t="s">
        <v>44</v>
      </c>
      <c r="K380" s="4">
        <f t="shared" ca="1" si="25"/>
        <v>6.2</v>
      </c>
      <c r="L380" t="str">
        <f t="shared" si="26"/>
        <v>Medium</v>
      </c>
      <c r="M380" t="str">
        <f t="shared" si="27"/>
        <v>Low</v>
      </c>
      <c r="N380" t="str">
        <f t="shared" si="28"/>
        <v>PIP</v>
      </c>
      <c r="O380" t="str">
        <f t="shared" ca="1" si="29"/>
        <v>Not Eligible</v>
      </c>
    </row>
    <row r="381" spans="1:15" x14ac:dyDescent="0.25">
      <c r="A381" t="s">
        <v>36</v>
      </c>
      <c r="B381">
        <v>30</v>
      </c>
      <c r="C381">
        <v>70000</v>
      </c>
      <c r="D381" t="s">
        <v>14</v>
      </c>
      <c r="E381" t="s">
        <v>20</v>
      </c>
      <c r="F381" t="s">
        <v>28</v>
      </c>
      <c r="G381" s="1">
        <v>43845</v>
      </c>
      <c r="H381" s="1" t="s">
        <v>17</v>
      </c>
      <c r="I381" s="1" t="s">
        <v>44</v>
      </c>
      <c r="J381" s="1" t="s">
        <v>19</v>
      </c>
      <c r="K381" s="4">
        <f t="shared" ca="1" si="25"/>
        <v>6.2</v>
      </c>
      <c r="L381" t="str">
        <f t="shared" si="26"/>
        <v>High</v>
      </c>
      <c r="M381" t="str">
        <f t="shared" si="27"/>
        <v>Low</v>
      </c>
      <c r="N381" t="str">
        <f t="shared" si="28"/>
        <v>PIP</v>
      </c>
      <c r="O381" t="str">
        <f t="shared" ca="1" si="29"/>
        <v>Not Eligible</v>
      </c>
    </row>
    <row r="382" spans="1:15" x14ac:dyDescent="0.25">
      <c r="A382" t="s">
        <v>41</v>
      </c>
      <c r="B382">
        <v>35</v>
      </c>
      <c r="C382">
        <v>65000</v>
      </c>
      <c r="D382" t="s">
        <v>14</v>
      </c>
      <c r="E382" t="s">
        <v>23</v>
      </c>
      <c r="F382" t="s">
        <v>30</v>
      </c>
      <c r="G382" s="1">
        <v>43845</v>
      </c>
      <c r="H382" s="1" t="s">
        <v>12</v>
      </c>
      <c r="I382" s="1" t="s">
        <v>25</v>
      </c>
      <c r="J382" s="1" t="s">
        <v>32</v>
      </c>
      <c r="K382" s="4">
        <f t="shared" ca="1" si="25"/>
        <v>6.2</v>
      </c>
      <c r="L382" t="str">
        <f t="shared" si="26"/>
        <v>High</v>
      </c>
      <c r="M382" t="str">
        <f t="shared" si="27"/>
        <v>Low</v>
      </c>
      <c r="N382" t="str">
        <f t="shared" si="28"/>
        <v>PIP</v>
      </c>
      <c r="O382" t="str">
        <f t="shared" ca="1" si="29"/>
        <v>Not Eligible</v>
      </c>
    </row>
    <row r="383" spans="1:15" x14ac:dyDescent="0.25">
      <c r="A383" t="s">
        <v>38</v>
      </c>
      <c r="B383">
        <v>35</v>
      </c>
      <c r="C383">
        <v>65000</v>
      </c>
      <c r="D383" t="s">
        <v>14</v>
      </c>
      <c r="E383" t="s">
        <v>20</v>
      </c>
      <c r="F383" t="s">
        <v>31</v>
      </c>
      <c r="G383" s="1">
        <v>43845</v>
      </c>
      <c r="H383" s="1" t="s">
        <v>17</v>
      </c>
      <c r="I383" s="1" t="s">
        <v>44</v>
      </c>
      <c r="J383" s="1" t="s">
        <v>22</v>
      </c>
      <c r="K383" s="4">
        <f t="shared" ca="1" si="25"/>
        <v>6.2</v>
      </c>
      <c r="L383" t="str">
        <f t="shared" si="26"/>
        <v>High</v>
      </c>
      <c r="M383" t="str">
        <f t="shared" si="27"/>
        <v>Low</v>
      </c>
      <c r="N383" t="str">
        <f t="shared" si="28"/>
        <v>PIP</v>
      </c>
      <c r="O383" t="str">
        <f t="shared" ca="1" si="29"/>
        <v>Not Eligible</v>
      </c>
    </row>
    <row r="384" spans="1:15" x14ac:dyDescent="0.25">
      <c r="A384" t="s">
        <v>34</v>
      </c>
      <c r="B384">
        <v>50</v>
      </c>
      <c r="C384">
        <v>60216</v>
      </c>
      <c r="D384" t="s">
        <v>9</v>
      </c>
      <c r="E384" t="s">
        <v>15</v>
      </c>
      <c r="F384" t="s">
        <v>16</v>
      </c>
      <c r="G384" s="1">
        <v>43845</v>
      </c>
      <c r="H384" s="1" t="s">
        <v>29</v>
      </c>
      <c r="I384" s="1" t="s">
        <v>18</v>
      </c>
      <c r="J384" s="1" t="s">
        <v>44</v>
      </c>
      <c r="K384" s="4">
        <f t="shared" ca="1" si="25"/>
        <v>6.2</v>
      </c>
      <c r="L384" t="str">
        <f t="shared" si="26"/>
        <v>Medium</v>
      </c>
      <c r="M384" t="str">
        <f t="shared" si="27"/>
        <v>Medium</v>
      </c>
      <c r="N384" t="str">
        <f t="shared" si="28"/>
        <v>No PIP</v>
      </c>
      <c r="O384" t="str">
        <f t="shared" ca="1" si="29"/>
        <v>Not Eligible</v>
      </c>
    </row>
    <row r="385" spans="1:15" x14ac:dyDescent="0.25">
      <c r="A385" t="s">
        <v>33</v>
      </c>
      <c r="B385">
        <v>50</v>
      </c>
      <c r="C385">
        <v>50000</v>
      </c>
      <c r="D385" t="s">
        <v>26</v>
      </c>
      <c r="E385" t="s">
        <v>27</v>
      </c>
      <c r="F385" t="s">
        <v>11</v>
      </c>
      <c r="G385" s="1">
        <v>43845</v>
      </c>
      <c r="H385" s="1" t="s">
        <v>24</v>
      </c>
      <c r="I385" s="1" t="s">
        <v>13</v>
      </c>
      <c r="J385" s="1" t="s">
        <v>44</v>
      </c>
      <c r="K385" s="4">
        <f t="shared" ca="1" si="25"/>
        <v>6.2</v>
      </c>
      <c r="L385" t="str">
        <f t="shared" si="26"/>
        <v>Low</v>
      </c>
      <c r="M385" t="str">
        <f t="shared" si="27"/>
        <v>High</v>
      </c>
      <c r="N385" t="str">
        <f t="shared" si="28"/>
        <v>No PIP</v>
      </c>
      <c r="O385" t="str">
        <f t="shared" ca="1" si="29"/>
        <v>Eligible</v>
      </c>
    </row>
    <row r="386" spans="1:15" x14ac:dyDescent="0.25">
      <c r="A386" t="s">
        <v>39</v>
      </c>
      <c r="B386">
        <v>40</v>
      </c>
      <c r="C386">
        <v>55000</v>
      </c>
      <c r="D386" t="s">
        <v>26</v>
      </c>
      <c r="E386" t="s">
        <v>15</v>
      </c>
      <c r="F386" t="s">
        <v>30</v>
      </c>
      <c r="G386" s="1">
        <v>43845</v>
      </c>
      <c r="H386" s="1" t="s">
        <v>21</v>
      </c>
      <c r="I386" s="1" t="s">
        <v>25</v>
      </c>
      <c r="J386" s="1" t="s">
        <v>44</v>
      </c>
      <c r="K386" s="4">
        <f t="shared" ca="1" si="25"/>
        <v>6.2</v>
      </c>
      <c r="L386" t="str">
        <f t="shared" si="26"/>
        <v>Low</v>
      </c>
      <c r="M386" t="str">
        <f t="shared" si="27"/>
        <v>Medium</v>
      </c>
      <c r="N386" t="str">
        <f t="shared" si="28"/>
        <v>No PIP</v>
      </c>
      <c r="O386" t="str">
        <f t="shared" ca="1" si="29"/>
        <v>Not Eligible</v>
      </c>
    </row>
    <row r="387" spans="1:15" x14ac:dyDescent="0.25">
      <c r="A387" t="s">
        <v>38</v>
      </c>
      <c r="B387">
        <v>40</v>
      </c>
      <c r="C387">
        <v>50000</v>
      </c>
      <c r="D387" t="s">
        <v>9</v>
      </c>
      <c r="E387" t="s">
        <v>15</v>
      </c>
      <c r="F387" t="s">
        <v>16</v>
      </c>
      <c r="G387" s="1">
        <v>43845</v>
      </c>
      <c r="H387" s="1" t="s">
        <v>21</v>
      </c>
      <c r="I387" s="1" t="s">
        <v>18</v>
      </c>
      <c r="J387" s="1" t="s">
        <v>44</v>
      </c>
      <c r="K387" s="4">
        <f t="shared" ref="K387:K450" ca="1" si="30">ROUND((TODAY()-G387)/365,1)</f>
        <v>6.2</v>
      </c>
      <c r="L387" t="str">
        <f t="shared" ref="L387:L450" si="31">IF(C387&lt;60000,"Low", IF(C387&lt;65000,"Medium","High"))</f>
        <v>Low</v>
      </c>
      <c r="M387" t="str">
        <f t="shared" ref="M387:M450" si="32">IF(H387="A","High",IF(OR(H387="B",H387="C"),"Medium","Low"))</f>
        <v>Medium</v>
      </c>
      <c r="N387" t="str">
        <f t="shared" ref="N387:N450" si="33">IF(M387="Low","PIP","No PIP")</f>
        <v>No PIP</v>
      </c>
      <c r="O387" t="str">
        <f t="shared" ref="O387:O450" ca="1" si="34">IF(AND(M387="High",K387&gt;3),"Eligible","Not Eligible")</f>
        <v>Not Eligible</v>
      </c>
    </row>
    <row r="388" spans="1:15" x14ac:dyDescent="0.25">
      <c r="A388" t="s">
        <v>38</v>
      </c>
      <c r="B388">
        <v>35</v>
      </c>
      <c r="C388">
        <v>65000</v>
      </c>
      <c r="D388" t="s">
        <v>26</v>
      </c>
      <c r="E388" t="s">
        <v>23</v>
      </c>
      <c r="F388" t="s">
        <v>30</v>
      </c>
      <c r="G388" s="1">
        <v>43845</v>
      </c>
      <c r="H388" s="1" t="s">
        <v>29</v>
      </c>
      <c r="I388" s="1" t="s">
        <v>18</v>
      </c>
      <c r="J388" s="1" t="s">
        <v>19</v>
      </c>
      <c r="K388" s="4">
        <f t="shared" ca="1" si="30"/>
        <v>6.2</v>
      </c>
      <c r="L388" t="str">
        <f t="shared" si="31"/>
        <v>High</v>
      </c>
      <c r="M388" t="str">
        <f t="shared" si="32"/>
        <v>Medium</v>
      </c>
      <c r="N388" t="str">
        <f t="shared" si="33"/>
        <v>No PIP</v>
      </c>
      <c r="O388" t="str">
        <f t="shared" ca="1" si="34"/>
        <v>Not Eligible</v>
      </c>
    </row>
    <row r="389" spans="1:15" x14ac:dyDescent="0.25">
      <c r="A389" t="s">
        <v>39</v>
      </c>
      <c r="B389">
        <v>50</v>
      </c>
      <c r="C389">
        <v>55000</v>
      </c>
      <c r="D389" t="s">
        <v>9</v>
      </c>
      <c r="E389" t="s">
        <v>23</v>
      </c>
      <c r="F389" t="s">
        <v>30</v>
      </c>
      <c r="G389" s="1">
        <v>43845</v>
      </c>
      <c r="H389" s="1" t="s">
        <v>12</v>
      </c>
      <c r="I389" s="1" t="s">
        <v>44</v>
      </c>
      <c r="J389" s="1" t="s">
        <v>32</v>
      </c>
      <c r="K389" s="4">
        <f t="shared" ca="1" si="30"/>
        <v>6.2</v>
      </c>
      <c r="L389" t="str">
        <f t="shared" si="31"/>
        <v>Low</v>
      </c>
      <c r="M389" t="str">
        <f t="shared" si="32"/>
        <v>Low</v>
      </c>
      <c r="N389" t="str">
        <f t="shared" si="33"/>
        <v>PIP</v>
      </c>
      <c r="O389" t="str">
        <f t="shared" ca="1" si="34"/>
        <v>Not Eligible</v>
      </c>
    </row>
    <row r="390" spans="1:15" x14ac:dyDescent="0.25">
      <c r="A390" t="s">
        <v>35</v>
      </c>
      <c r="B390">
        <v>25</v>
      </c>
      <c r="C390">
        <v>65000</v>
      </c>
      <c r="D390" t="s">
        <v>14</v>
      </c>
      <c r="E390" t="s">
        <v>10</v>
      </c>
      <c r="F390" t="s">
        <v>31</v>
      </c>
      <c r="G390" s="1">
        <v>43845</v>
      </c>
      <c r="H390" s="1" t="s">
        <v>17</v>
      </c>
      <c r="I390" s="1" t="s">
        <v>44</v>
      </c>
      <c r="J390" s="1" t="s">
        <v>22</v>
      </c>
      <c r="K390" s="4">
        <f t="shared" ca="1" si="30"/>
        <v>6.2</v>
      </c>
      <c r="L390" t="str">
        <f t="shared" si="31"/>
        <v>High</v>
      </c>
      <c r="M390" t="str">
        <f t="shared" si="32"/>
        <v>Low</v>
      </c>
      <c r="N390" t="str">
        <f t="shared" si="33"/>
        <v>PIP</v>
      </c>
      <c r="O390" t="str">
        <f t="shared" ca="1" si="34"/>
        <v>Not Eligible</v>
      </c>
    </row>
    <row r="391" spans="1:15" x14ac:dyDescent="0.25">
      <c r="A391" t="s">
        <v>37</v>
      </c>
      <c r="B391">
        <v>30</v>
      </c>
      <c r="C391">
        <v>70000</v>
      </c>
      <c r="D391" t="s">
        <v>14</v>
      </c>
      <c r="E391" t="s">
        <v>20</v>
      </c>
      <c r="F391" t="s">
        <v>11</v>
      </c>
      <c r="G391" s="1">
        <v>43845</v>
      </c>
      <c r="H391" s="1" t="s">
        <v>24</v>
      </c>
      <c r="I391" s="1" t="s">
        <v>44</v>
      </c>
      <c r="J391" s="1" t="s">
        <v>44</v>
      </c>
      <c r="K391" s="4">
        <f t="shared" ca="1" si="30"/>
        <v>6.2</v>
      </c>
      <c r="L391" t="str">
        <f t="shared" si="31"/>
        <v>High</v>
      </c>
      <c r="M391" t="str">
        <f t="shared" si="32"/>
        <v>High</v>
      </c>
      <c r="N391" t="str">
        <f t="shared" si="33"/>
        <v>No PIP</v>
      </c>
      <c r="O391" t="str">
        <f t="shared" ca="1" si="34"/>
        <v>Eligible</v>
      </c>
    </row>
    <row r="392" spans="1:15" x14ac:dyDescent="0.25">
      <c r="A392" t="s">
        <v>40</v>
      </c>
      <c r="B392">
        <v>40</v>
      </c>
      <c r="C392">
        <v>55000</v>
      </c>
      <c r="D392" t="s">
        <v>9</v>
      </c>
      <c r="E392" t="s">
        <v>15</v>
      </c>
      <c r="F392" t="s">
        <v>31</v>
      </c>
      <c r="G392" s="1">
        <v>43845</v>
      </c>
      <c r="H392" s="1" t="s">
        <v>24</v>
      </c>
      <c r="I392" s="1" t="s">
        <v>44</v>
      </c>
      <c r="J392" s="1" t="s">
        <v>22</v>
      </c>
      <c r="K392" s="4">
        <f t="shared" ca="1" si="30"/>
        <v>6.2</v>
      </c>
      <c r="L392" t="str">
        <f t="shared" si="31"/>
        <v>Low</v>
      </c>
      <c r="M392" t="str">
        <f t="shared" si="32"/>
        <v>High</v>
      </c>
      <c r="N392" t="str">
        <f t="shared" si="33"/>
        <v>No PIP</v>
      </c>
      <c r="O392" t="str">
        <f t="shared" ca="1" si="34"/>
        <v>Eligible</v>
      </c>
    </row>
    <row r="393" spans="1:15" x14ac:dyDescent="0.25">
      <c r="A393" t="s">
        <v>36</v>
      </c>
      <c r="B393">
        <v>50</v>
      </c>
      <c r="C393">
        <v>60000</v>
      </c>
      <c r="D393" t="s">
        <v>26</v>
      </c>
      <c r="E393" t="s">
        <v>20</v>
      </c>
      <c r="F393" t="s">
        <v>31</v>
      </c>
      <c r="G393" s="1">
        <v>43845</v>
      </c>
      <c r="H393" s="1" t="s">
        <v>17</v>
      </c>
      <c r="I393" s="1" t="s">
        <v>25</v>
      </c>
      <c r="J393" s="1" t="s">
        <v>19</v>
      </c>
      <c r="K393" s="4">
        <f t="shared" ca="1" si="30"/>
        <v>6.2</v>
      </c>
      <c r="L393" t="str">
        <f t="shared" si="31"/>
        <v>Medium</v>
      </c>
      <c r="M393" t="str">
        <f t="shared" si="32"/>
        <v>Low</v>
      </c>
      <c r="N393" t="str">
        <f t="shared" si="33"/>
        <v>PIP</v>
      </c>
      <c r="O393" t="str">
        <f t="shared" ca="1" si="34"/>
        <v>Not Eligible</v>
      </c>
    </row>
    <row r="394" spans="1:15" x14ac:dyDescent="0.25">
      <c r="A394" t="s">
        <v>42</v>
      </c>
      <c r="B394">
        <v>50</v>
      </c>
      <c r="C394">
        <v>50000</v>
      </c>
      <c r="D394" t="s">
        <v>26</v>
      </c>
      <c r="E394" t="s">
        <v>20</v>
      </c>
      <c r="F394" t="s">
        <v>11</v>
      </c>
      <c r="G394" s="1">
        <v>43845</v>
      </c>
      <c r="H394" s="1" t="s">
        <v>17</v>
      </c>
      <c r="I394" s="1" t="s">
        <v>13</v>
      </c>
      <c r="J394" s="1" t="s">
        <v>44</v>
      </c>
      <c r="K394" s="4">
        <f t="shared" ca="1" si="30"/>
        <v>6.2</v>
      </c>
      <c r="L394" t="str">
        <f t="shared" si="31"/>
        <v>Low</v>
      </c>
      <c r="M394" t="str">
        <f t="shared" si="32"/>
        <v>Low</v>
      </c>
      <c r="N394" t="str">
        <f t="shared" si="33"/>
        <v>PIP</v>
      </c>
      <c r="O394" t="str">
        <f t="shared" ca="1" si="34"/>
        <v>Not Eligible</v>
      </c>
    </row>
    <row r="395" spans="1:15" x14ac:dyDescent="0.25">
      <c r="A395" t="s">
        <v>39</v>
      </c>
      <c r="B395">
        <v>35</v>
      </c>
      <c r="C395">
        <v>60000</v>
      </c>
      <c r="D395" t="s">
        <v>9</v>
      </c>
      <c r="E395" t="s">
        <v>27</v>
      </c>
      <c r="F395" t="s">
        <v>28</v>
      </c>
      <c r="G395" s="1">
        <v>43845</v>
      </c>
      <c r="H395" s="1" t="s">
        <v>17</v>
      </c>
      <c r="I395" s="1" t="s">
        <v>44</v>
      </c>
      <c r="J395" s="1" t="s">
        <v>19</v>
      </c>
      <c r="K395" s="4">
        <f t="shared" ca="1" si="30"/>
        <v>6.2</v>
      </c>
      <c r="L395" t="str">
        <f t="shared" si="31"/>
        <v>Medium</v>
      </c>
      <c r="M395" t="str">
        <f t="shared" si="32"/>
        <v>Low</v>
      </c>
      <c r="N395" t="str">
        <f t="shared" si="33"/>
        <v>PIP</v>
      </c>
      <c r="O395" t="str">
        <f t="shared" ca="1" si="34"/>
        <v>Not Eligible</v>
      </c>
    </row>
    <row r="396" spans="1:15" x14ac:dyDescent="0.25">
      <c r="A396" t="s">
        <v>37</v>
      </c>
      <c r="B396">
        <v>25</v>
      </c>
      <c r="C396">
        <v>65000</v>
      </c>
      <c r="D396" t="s">
        <v>9</v>
      </c>
      <c r="E396" t="s">
        <v>27</v>
      </c>
      <c r="F396" t="s">
        <v>28</v>
      </c>
      <c r="G396" s="1">
        <v>43845</v>
      </c>
      <c r="H396" s="1" t="s">
        <v>24</v>
      </c>
      <c r="I396" s="1" t="s">
        <v>25</v>
      </c>
      <c r="J396" s="1" t="s">
        <v>44</v>
      </c>
      <c r="K396" s="4">
        <f t="shared" ca="1" si="30"/>
        <v>6.2</v>
      </c>
      <c r="L396" t="str">
        <f t="shared" si="31"/>
        <v>High</v>
      </c>
      <c r="M396" t="str">
        <f t="shared" si="32"/>
        <v>High</v>
      </c>
      <c r="N396" t="str">
        <f t="shared" si="33"/>
        <v>No PIP</v>
      </c>
      <c r="O396" t="str">
        <f t="shared" ca="1" si="34"/>
        <v>Eligible</v>
      </c>
    </row>
    <row r="397" spans="1:15" x14ac:dyDescent="0.25">
      <c r="A397" t="s">
        <v>34</v>
      </c>
      <c r="B397">
        <v>50</v>
      </c>
      <c r="C397">
        <v>60000</v>
      </c>
      <c r="D397" t="s">
        <v>9</v>
      </c>
      <c r="E397" t="s">
        <v>10</v>
      </c>
      <c r="F397" t="s">
        <v>30</v>
      </c>
      <c r="G397" s="1">
        <v>43845</v>
      </c>
      <c r="H397" s="1" t="s">
        <v>17</v>
      </c>
      <c r="I397" s="1" t="s">
        <v>25</v>
      </c>
      <c r="J397" s="1" t="s">
        <v>44</v>
      </c>
      <c r="K397" s="4">
        <f t="shared" ca="1" si="30"/>
        <v>6.2</v>
      </c>
      <c r="L397" t="str">
        <f t="shared" si="31"/>
        <v>Medium</v>
      </c>
      <c r="M397" t="str">
        <f t="shared" si="32"/>
        <v>Low</v>
      </c>
      <c r="N397" t="str">
        <f t="shared" si="33"/>
        <v>PIP</v>
      </c>
      <c r="O397" t="str">
        <f t="shared" ca="1" si="34"/>
        <v>Not Eligible</v>
      </c>
    </row>
    <row r="398" spans="1:15" x14ac:dyDescent="0.25">
      <c r="A398" t="s">
        <v>41</v>
      </c>
      <c r="B398">
        <v>30</v>
      </c>
      <c r="C398">
        <v>70000</v>
      </c>
      <c r="D398" t="s">
        <v>14</v>
      </c>
      <c r="E398" t="s">
        <v>20</v>
      </c>
      <c r="F398" t="s">
        <v>30</v>
      </c>
      <c r="G398" s="1">
        <v>43845</v>
      </c>
      <c r="H398" s="1" t="s">
        <v>29</v>
      </c>
      <c r="I398" s="1" t="s">
        <v>44</v>
      </c>
      <c r="J398" s="1" t="s">
        <v>32</v>
      </c>
      <c r="K398" s="4">
        <f t="shared" ca="1" si="30"/>
        <v>6.2</v>
      </c>
      <c r="L398" t="str">
        <f t="shared" si="31"/>
        <v>High</v>
      </c>
      <c r="M398" t="str">
        <f t="shared" si="32"/>
        <v>Medium</v>
      </c>
      <c r="N398" t="str">
        <f t="shared" si="33"/>
        <v>No PIP</v>
      </c>
      <c r="O398" t="str">
        <f t="shared" ca="1" si="34"/>
        <v>Not Eligible</v>
      </c>
    </row>
    <row r="399" spans="1:15" x14ac:dyDescent="0.25">
      <c r="A399" t="s">
        <v>40</v>
      </c>
      <c r="B399">
        <v>35</v>
      </c>
      <c r="C399">
        <v>60000</v>
      </c>
      <c r="D399" t="s">
        <v>26</v>
      </c>
      <c r="E399" t="s">
        <v>20</v>
      </c>
      <c r="F399" t="s">
        <v>11</v>
      </c>
      <c r="G399" s="1">
        <v>43845</v>
      </c>
      <c r="H399" s="1" t="s">
        <v>24</v>
      </c>
      <c r="I399" s="1" t="s">
        <v>25</v>
      </c>
      <c r="J399" s="1" t="s">
        <v>44</v>
      </c>
      <c r="K399" s="4">
        <f t="shared" ca="1" si="30"/>
        <v>6.2</v>
      </c>
      <c r="L399" t="str">
        <f t="shared" si="31"/>
        <v>Medium</v>
      </c>
      <c r="M399" t="str">
        <f t="shared" si="32"/>
        <v>High</v>
      </c>
      <c r="N399" t="str">
        <f t="shared" si="33"/>
        <v>No PIP</v>
      </c>
      <c r="O399" t="str">
        <f t="shared" ca="1" si="34"/>
        <v>Eligible</v>
      </c>
    </row>
    <row r="400" spans="1:15" x14ac:dyDescent="0.25">
      <c r="A400" t="s">
        <v>40</v>
      </c>
      <c r="B400">
        <v>35</v>
      </c>
      <c r="C400">
        <v>50000</v>
      </c>
      <c r="D400" t="s">
        <v>26</v>
      </c>
      <c r="E400" t="s">
        <v>27</v>
      </c>
      <c r="F400" t="s">
        <v>16</v>
      </c>
      <c r="G400" s="1">
        <v>43845</v>
      </c>
      <c r="H400" s="1" t="s">
        <v>29</v>
      </c>
      <c r="I400" s="1" t="s">
        <v>18</v>
      </c>
      <c r="J400" s="1" t="s">
        <v>22</v>
      </c>
      <c r="K400" s="4">
        <f t="shared" ca="1" si="30"/>
        <v>6.2</v>
      </c>
      <c r="L400" t="str">
        <f t="shared" si="31"/>
        <v>Low</v>
      </c>
      <c r="M400" t="str">
        <f t="shared" si="32"/>
        <v>Medium</v>
      </c>
      <c r="N400" t="str">
        <f t="shared" si="33"/>
        <v>No PIP</v>
      </c>
      <c r="O400" t="str">
        <f t="shared" ca="1" si="34"/>
        <v>Not Eligible</v>
      </c>
    </row>
    <row r="401" spans="1:15" x14ac:dyDescent="0.25">
      <c r="A401" t="s">
        <v>33</v>
      </c>
      <c r="B401">
        <v>30</v>
      </c>
      <c r="C401">
        <v>55000</v>
      </c>
      <c r="D401" t="s">
        <v>9</v>
      </c>
      <c r="E401" t="s">
        <v>23</v>
      </c>
      <c r="F401" t="s">
        <v>11</v>
      </c>
      <c r="G401" s="1">
        <v>43845</v>
      </c>
      <c r="H401" s="1" t="s">
        <v>29</v>
      </c>
      <c r="I401" s="1" t="s">
        <v>25</v>
      </c>
      <c r="J401" s="1" t="s">
        <v>44</v>
      </c>
      <c r="K401" s="4">
        <f t="shared" ca="1" si="30"/>
        <v>6.2</v>
      </c>
      <c r="L401" t="str">
        <f t="shared" si="31"/>
        <v>Low</v>
      </c>
      <c r="M401" t="str">
        <f t="shared" si="32"/>
        <v>Medium</v>
      </c>
      <c r="N401" t="str">
        <f t="shared" si="33"/>
        <v>No PIP</v>
      </c>
      <c r="O401" t="str">
        <f t="shared" ca="1" si="34"/>
        <v>Not Eligible</v>
      </c>
    </row>
    <row r="402" spans="1:15" x14ac:dyDescent="0.25">
      <c r="A402" t="s">
        <v>37</v>
      </c>
      <c r="B402">
        <v>35</v>
      </c>
      <c r="C402">
        <v>60216</v>
      </c>
      <c r="D402" t="s">
        <v>26</v>
      </c>
      <c r="E402" t="s">
        <v>20</v>
      </c>
      <c r="F402" t="s">
        <v>30</v>
      </c>
      <c r="G402" s="1">
        <v>43845</v>
      </c>
      <c r="H402" s="1" t="s">
        <v>24</v>
      </c>
      <c r="I402" s="1" t="s">
        <v>44</v>
      </c>
      <c r="J402" s="1" t="s">
        <v>44</v>
      </c>
      <c r="K402" s="4">
        <f t="shared" ca="1" si="30"/>
        <v>6.2</v>
      </c>
      <c r="L402" t="str">
        <f t="shared" si="31"/>
        <v>Medium</v>
      </c>
      <c r="M402" t="str">
        <f t="shared" si="32"/>
        <v>High</v>
      </c>
      <c r="N402" t="str">
        <f t="shared" si="33"/>
        <v>No PIP</v>
      </c>
      <c r="O402" t="str">
        <f t="shared" ca="1" si="34"/>
        <v>Eligible</v>
      </c>
    </row>
    <row r="403" spans="1:15" x14ac:dyDescent="0.25">
      <c r="A403" t="s">
        <v>41</v>
      </c>
      <c r="B403">
        <v>25</v>
      </c>
      <c r="C403">
        <v>60216</v>
      </c>
      <c r="D403" t="s">
        <v>14</v>
      </c>
      <c r="E403" t="s">
        <v>15</v>
      </c>
      <c r="F403" t="s">
        <v>28</v>
      </c>
      <c r="G403" s="1">
        <v>43845</v>
      </c>
      <c r="H403" s="1" t="s">
        <v>29</v>
      </c>
      <c r="I403" s="1" t="s">
        <v>18</v>
      </c>
      <c r="J403" s="1" t="s">
        <v>19</v>
      </c>
      <c r="K403" s="4">
        <f t="shared" ca="1" si="30"/>
        <v>6.2</v>
      </c>
      <c r="L403" t="str">
        <f t="shared" si="31"/>
        <v>Medium</v>
      </c>
      <c r="M403" t="str">
        <f t="shared" si="32"/>
        <v>Medium</v>
      </c>
      <c r="N403" t="str">
        <f t="shared" si="33"/>
        <v>No PIP</v>
      </c>
      <c r="O403" t="str">
        <f t="shared" ca="1" si="34"/>
        <v>Not Eligible</v>
      </c>
    </row>
    <row r="404" spans="1:15" x14ac:dyDescent="0.25">
      <c r="A404" t="s">
        <v>38</v>
      </c>
      <c r="B404">
        <v>35</v>
      </c>
      <c r="C404">
        <v>50000</v>
      </c>
      <c r="D404" t="s">
        <v>9</v>
      </c>
      <c r="E404" t="s">
        <v>15</v>
      </c>
      <c r="F404" t="s">
        <v>30</v>
      </c>
      <c r="G404" s="1">
        <v>43845</v>
      </c>
      <c r="H404" s="1" t="s">
        <v>17</v>
      </c>
      <c r="I404" s="1" t="s">
        <v>18</v>
      </c>
      <c r="J404" s="1" t="s">
        <v>32</v>
      </c>
      <c r="K404" s="4">
        <f t="shared" ca="1" si="30"/>
        <v>6.2</v>
      </c>
      <c r="L404" t="str">
        <f t="shared" si="31"/>
        <v>Low</v>
      </c>
      <c r="M404" t="str">
        <f t="shared" si="32"/>
        <v>Low</v>
      </c>
      <c r="N404" t="str">
        <f t="shared" si="33"/>
        <v>PIP</v>
      </c>
      <c r="O404" t="str">
        <f t="shared" ca="1" si="34"/>
        <v>Not Eligible</v>
      </c>
    </row>
    <row r="405" spans="1:15" x14ac:dyDescent="0.25">
      <c r="A405" t="s">
        <v>40</v>
      </c>
      <c r="B405">
        <v>40</v>
      </c>
      <c r="C405">
        <v>65000</v>
      </c>
      <c r="D405" t="s">
        <v>9</v>
      </c>
      <c r="E405" t="s">
        <v>27</v>
      </c>
      <c r="F405" t="s">
        <v>16</v>
      </c>
      <c r="G405" s="1">
        <v>43845</v>
      </c>
      <c r="H405" s="1" t="s">
        <v>21</v>
      </c>
      <c r="I405" s="1" t="s">
        <v>18</v>
      </c>
      <c r="J405" s="1" t="s">
        <v>44</v>
      </c>
      <c r="K405" s="4">
        <f t="shared" ca="1" si="30"/>
        <v>6.2</v>
      </c>
      <c r="L405" t="str">
        <f t="shared" si="31"/>
        <v>High</v>
      </c>
      <c r="M405" t="str">
        <f t="shared" si="32"/>
        <v>Medium</v>
      </c>
      <c r="N405" t="str">
        <f t="shared" si="33"/>
        <v>No PIP</v>
      </c>
      <c r="O405" t="str">
        <f t="shared" ca="1" si="34"/>
        <v>Not Eligible</v>
      </c>
    </row>
    <row r="406" spans="1:15" x14ac:dyDescent="0.25">
      <c r="A406" t="s">
        <v>39</v>
      </c>
      <c r="B406">
        <v>30</v>
      </c>
      <c r="C406">
        <v>60216</v>
      </c>
      <c r="D406" t="s">
        <v>14</v>
      </c>
      <c r="E406" t="s">
        <v>20</v>
      </c>
      <c r="F406" t="s">
        <v>11</v>
      </c>
      <c r="G406" s="1">
        <v>43845</v>
      </c>
      <c r="H406" s="1" t="s">
        <v>12</v>
      </c>
      <c r="I406" s="1" t="s">
        <v>18</v>
      </c>
      <c r="J406" s="1" t="s">
        <v>22</v>
      </c>
      <c r="K406" s="4">
        <f t="shared" ca="1" si="30"/>
        <v>6.2</v>
      </c>
      <c r="L406" t="str">
        <f t="shared" si="31"/>
        <v>Medium</v>
      </c>
      <c r="M406" t="str">
        <f t="shared" si="32"/>
        <v>Low</v>
      </c>
      <c r="N406" t="str">
        <f t="shared" si="33"/>
        <v>PIP</v>
      </c>
      <c r="O406" t="str">
        <f t="shared" ca="1" si="34"/>
        <v>Not Eligible</v>
      </c>
    </row>
    <row r="407" spans="1:15" x14ac:dyDescent="0.25">
      <c r="A407" t="s">
        <v>36</v>
      </c>
      <c r="B407">
        <v>40</v>
      </c>
      <c r="C407">
        <v>60216</v>
      </c>
      <c r="D407" t="s">
        <v>26</v>
      </c>
      <c r="E407" t="s">
        <v>15</v>
      </c>
      <c r="F407" t="s">
        <v>11</v>
      </c>
      <c r="G407" s="1">
        <v>43845</v>
      </c>
      <c r="H407" s="1" t="s">
        <v>24</v>
      </c>
      <c r="I407" s="1" t="s">
        <v>13</v>
      </c>
      <c r="J407" s="1" t="s">
        <v>32</v>
      </c>
      <c r="K407" s="4">
        <f t="shared" ca="1" si="30"/>
        <v>6.2</v>
      </c>
      <c r="L407" t="str">
        <f t="shared" si="31"/>
        <v>Medium</v>
      </c>
      <c r="M407" t="str">
        <f t="shared" si="32"/>
        <v>High</v>
      </c>
      <c r="N407" t="str">
        <f t="shared" si="33"/>
        <v>No PIP</v>
      </c>
      <c r="O407" t="str">
        <f t="shared" ca="1" si="34"/>
        <v>Eligible</v>
      </c>
    </row>
    <row r="408" spans="1:15" x14ac:dyDescent="0.25">
      <c r="A408" t="s">
        <v>34</v>
      </c>
      <c r="B408">
        <v>35</v>
      </c>
      <c r="C408">
        <v>60216</v>
      </c>
      <c r="D408" t="s">
        <v>14</v>
      </c>
      <c r="E408" t="s">
        <v>15</v>
      </c>
      <c r="F408" t="s">
        <v>16</v>
      </c>
      <c r="G408" s="1">
        <v>43845</v>
      </c>
      <c r="H408" s="1" t="s">
        <v>21</v>
      </c>
      <c r="I408" s="1" t="s">
        <v>44</v>
      </c>
      <c r="J408" s="1" t="s">
        <v>19</v>
      </c>
      <c r="K408" s="4">
        <f t="shared" ca="1" si="30"/>
        <v>6.2</v>
      </c>
      <c r="L408" t="str">
        <f t="shared" si="31"/>
        <v>Medium</v>
      </c>
      <c r="M408" t="str">
        <f t="shared" si="32"/>
        <v>Medium</v>
      </c>
      <c r="N408" t="str">
        <f t="shared" si="33"/>
        <v>No PIP</v>
      </c>
      <c r="O408" t="str">
        <f t="shared" ca="1" si="34"/>
        <v>Not Eligible</v>
      </c>
    </row>
    <row r="409" spans="1:15" x14ac:dyDescent="0.25">
      <c r="A409" t="s">
        <v>38</v>
      </c>
      <c r="B409">
        <v>25</v>
      </c>
      <c r="C409">
        <v>60216</v>
      </c>
      <c r="D409" t="s">
        <v>9</v>
      </c>
      <c r="E409" t="s">
        <v>15</v>
      </c>
      <c r="F409" t="s">
        <v>30</v>
      </c>
      <c r="G409" s="1">
        <v>43845</v>
      </c>
      <c r="H409" s="1" t="s">
        <v>29</v>
      </c>
      <c r="I409" s="1" t="s">
        <v>18</v>
      </c>
      <c r="J409" s="1" t="s">
        <v>22</v>
      </c>
      <c r="K409" s="4">
        <f t="shared" ca="1" si="30"/>
        <v>6.2</v>
      </c>
      <c r="L409" t="str">
        <f t="shared" si="31"/>
        <v>Medium</v>
      </c>
      <c r="M409" t="str">
        <f t="shared" si="32"/>
        <v>Medium</v>
      </c>
      <c r="N409" t="str">
        <f t="shared" si="33"/>
        <v>No PIP</v>
      </c>
      <c r="O409" t="str">
        <f t="shared" ca="1" si="34"/>
        <v>Not Eligible</v>
      </c>
    </row>
    <row r="410" spans="1:15" x14ac:dyDescent="0.25">
      <c r="A410" t="s">
        <v>39</v>
      </c>
      <c r="B410">
        <v>40</v>
      </c>
      <c r="C410">
        <v>60000</v>
      </c>
      <c r="D410" t="s">
        <v>9</v>
      </c>
      <c r="E410" t="s">
        <v>10</v>
      </c>
      <c r="F410" t="s">
        <v>11</v>
      </c>
      <c r="G410" s="1">
        <v>43845</v>
      </c>
      <c r="H410" s="1" t="s">
        <v>21</v>
      </c>
      <c r="I410" s="1" t="s">
        <v>25</v>
      </c>
      <c r="J410" s="1" t="s">
        <v>19</v>
      </c>
      <c r="K410" s="4">
        <f t="shared" ca="1" si="30"/>
        <v>6.2</v>
      </c>
      <c r="L410" t="str">
        <f t="shared" si="31"/>
        <v>Medium</v>
      </c>
      <c r="M410" t="str">
        <f t="shared" si="32"/>
        <v>Medium</v>
      </c>
      <c r="N410" t="str">
        <f t="shared" si="33"/>
        <v>No PIP</v>
      </c>
      <c r="O410" t="str">
        <f t="shared" ca="1" si="34"/>
        <v>Not Eligible</v>
      </c>
    </row>
    <row r="411" spans="1:15" x14ac:dyDescent="0.25">
      <c r="A411" t="s">
        <v>34</v>
      </c>
      <c r="B411">
        <v>30</v>
      </c>
      <c r="C411">
        <v>55000</v>
      </c>
      <c r="D411" t="s">
        <v>14</v>
      </c>
      <c r="E411" t="s">
        <v>10</v>
      </c>
      <c r="F411" t="s">
        <v>31</v>
      </c>
      <c r="G411" s="1">
        <v>43845</v>
      </c>
      <c r="H411" s="1" t="s">
        <v>24</v>
      </c>
      <c r="I411" s="1" t="s">
        <v>44</v>
      </c>
      <c r="J411" s="1" t="s">
        <v>32</v>
      </c>
      <c r="K411" s="4">
        <f t="shared" ca="1" si="30"/>
        <v>6.2</v>
      </c>
      <c r="L411" t="str">
        <f t="shared" si="31"/>
        <v>Low</v>
      </c>
      <c r="M411" t="str">
        <f t="shared" si="32"/>
        <v>High</v>
      </c>
      <c r="N411" t="str">
        <f t="shared" si="33"/>
        <v>No PIP</v>
      </c>
      <c r="O411" t="str">
        <f t="shared" ca="1" si="34"/>
        <v>Eligible</v>
      </c>
    </row>
    <row r="412" spans="1:15" x14ac:dyDescent="0.25">
      <c r="A412" t="s">
        <v>41</v>
      </c>
      <c r="B412">
        <v>50</v>
      </c>
      <c r="C412">
        <v>70000</v>
      </c>
      <c r="D412" t="s">
        <v>9</v>
      </c>
      <c r="E412" t="s">
        <v>20</v>
      </c>
      <c r="F412" t="s">
        <v>31</v>
      </c>
      <c r="G412" s="1">
        <v>43845</v>
      </c>
      <c r="H412" s="1" t="s">
        <v>17</v>
      </c>
      <c r="I412" s="1" t="s">
        <v>13</v>
      </c>
      <c r="J412" s="1" t="s">
        <v>44</v>
      </c>
      <c r="K412" s="4">
        <f t="shared" ca="1" si="30"/>
        <v>6.2</v>
      </c>
      <c r="L412" t="str">
        <f t="shared" si="31"/>
        <v>High</v>
      </c>
      <c r="M412" t="str">
        <f t="shared" si="32"/>
        <v>Low</v>
      </c>
      <c r="N412" t="str">
        <f t="shared" si="33"/>
        <v>PIP</v>
      </c>
      <c r="O412" t="str">
        <f t="shared" ca="1" si="34"/>
        <v>Not Eligible</v>
      </c>
    </row>
    <row r="413" spans="1:15" x14ac:dyDescent="0.25">
      <c r="A413" t="s">
        <v>42</v>
      </c>
      <c r="B413">
        <v>30</v>
      </c>
      <c r="C413">
        <v>60000</v>
      </c>
      <c r="D413" t="s">
        <v>9</v>
      </c>
      <c r="E413" t="s">
        <v>15</v>
      </c>
      <c r="F413" t="s">
        <v>16</v>
      </c>
      <c r="G413" s="1">
        <v>43845</v>
      </c>
      <c r="H413" s="1" t="s">
        <v>17</v>
      </c>
      <c r="I413" s="1" t="s">
        <v>25</v>
      </c>
      <c r="J413" s="1" t="s">
        <v>19</v>
      </c>
      <c r="K413" s="4">
        <f t="shared" ca="1" si="30"/>
        <v>6.2</v>
      </c>
      <c r="L413" t="str">
        <f t="shared" si="31"/>
        <v>Medium</v>
      </c>
      <c r="M413" t="str">
        <f t="shared" si="32"/>
        <v>Low</v>
      </c>
      <c r="N413" t="str">
        <f t="shared" si="33"/>
        <v>PIP</v>
      </c>
      <c r="O413" t="str">
        <f t="shared" ca="1" si="34"/>
        <v>Not Eligible</v>
      </c>
    </row>
    <row r="414" spans="1:15" x14ac:dyDescent="0.25">
      <c r="A414" t="s">
        <v>41</v>
      </c>
      <c r="B414">
        <v>35</v>
      </c>
      <c r="C414">
        <v>55000</v>
      </c>
      <c r="D414" t="s">
        <v>14</v>
      </c>
      <c r="E414" t="s">
        <v>23</v>
      </c>
      <c r="F414" t="s">
        <v>28</v>
      </c>
      <c r="G414" s="1">
        <v>43845</v>
      </c>
      <c r="H414" s="1" t="s">
        <v>17</v>
      </c>
      <c r="I414" s="1" t="s">
        <v>18</v>
      </c>
      <c r="J414" s="1" t="s">
        <v>44</v>
      </c>
      <c r="K414" s="4">
        <f t="shared" ca="1" si="30"/>
        <v>6.2</v>
      </c>
      <c r="L414" t="str">
        <f t="shared" si="31"/>
        <v>Low</v>
      </c>
      <c r="M414" t="str">
        <f t="shared" si="32"/>
        <v>Low</v>
      </c>
      <c r="N414" t="str">
        <f t="shared" si="33"/>
        <v>PIP</v>
      </c>
      <c r="O414" t="str">
        <f t="shared" ca="1" si="34"/>
        <v>Not Eligible</v>
      </c>
    </row>
    <row r="415" spans="1:15" x14ac:dyDescent="0.25">
      <c r="A415" t="s">
        <v>38</v>
      </c>
      <c r="B415">
        <v>50</v>
      </c>
      <c r="C415">
        <v>60000</v>
      </c>
      <c r="D415" t="s">
        <v>14</v>
      </c>
      <c r="E415" t="s">
        <v>10</v>
      </c>
      <c r="F415" t="s">
        <v>11</v>
      </c>
      <c r="G415" s="1">
        <v>43845</v>
      </c>
      <c r="H415" s="1" t="s">
        <v>24</v>
      </c>
      <c r="I415" s="1" t="s">
        <v>13</v>
      </c>
      <c r="J415" s="1" t="s">
        <v>32</v>
      </c>
      <c r="K415" s="4">
        <f t="shared" ca="1" si="30"/>
        <v>6.2</v>
      </c>
      <c r="L415" t="str">
        <f t="shared" si="31"/>
        <v>Medium</v>
      </c>
      <c r="M415" t="str">
        <f t="shared" si="32"/>
        <v>High</v>
      </c>
      <c r="N415" t="str">
        <f t="shared" si="33"/>
        <v>No PIP</v>
      </c>
      <c r="O415" t="str">
        <f t="shared" ca="1" si="34"/>
        <v>Eligible</v>
      </c>
    </row>
    <row r="416" spans="1:15" x14ac:dyDescent="0.25">
      <c r="A416" t="s">
        <v>39</v>
      </c>
      <c r="B416">
        <v>25</v>
      </c>
      <c r="C416">
        <v>50000</v>
      </c>
      <c r="D416" t="s">
        <v>14</v>
      </c>
      <c r="E416" t="s">
        <v>15</v>
      </c>
      <c r="F416" t="s">
        <v>28</v>
      </c>
      <c r="G416" s="1">
        <v>43845</v>
      </c>
      <c r="H416" s="1" t="s">
        <v>29</v>
      </c>
      <c r="I416" s="1" t="s">
        <v>18</v>
      </c>
      <c r="J416" s="1" t="s">
        <v>22</v>
      </c>
      <c r="K416" s="4">
        <f t="shared" ca="1" si="30"/>
        <v>6.2</v>
      </c>
      <c r="L416" t="str">
        <f t="shared" si="31"/>
        <v>Low</v>
      </c>
      <c r="M416" t="str">
        <f t="shared" si="32"/>
        <v>Medium</v>
      </c>
      <c r="N416" t="str">
        <f t="shared" si="33"/>
        <v>No PIP</v>
      </c>
      <c r="O416" t="str">
        <f t="shared" ca="1" si="34"/>
        <v>Not Eligible</v>
      </c>
    </row>
    <row r="417" spans="1:15" x14ac:dyDescent="0.25">
      <c r="A417" t="s">
        <v>40</v>
      </c>
      <c r="B417">
        <v>50</v>
      </c>
      <c r="C417">
        <v>65000</v>
      </c>
      <c r="D417" t="s">
        <v>14</v>
      </c>
      <c r="E417" t="s">
        <v>20</v>
      </c>
      <c r="F417" t="s">
        <v>11</v>
      </c>
      <c r="G417" s="1">
        <v>43845</v>
      </c>
      <c r="H417" s="1" t="s">
        <v>29</v>
      </c>
      <c r="I417" s="1" t="s">
        <v>13</v>
      </c>
      <c r="J417" s="1" t="s">
        <v>22</v>
      </c>
      <c r="K417" s="4">
        <f t="shared" ca="1" si="30"/>
        <v>6.2</v>
      </c>
      <c r="L417" t="str">
        <f t="shared" si="31"/>
        <v>High</v>
      </c>
      <c r="M417" t="str">
        <f t="shared" si="32"/>
        <v>Medium</v>
      </c>
      <c r="N417" t="str">
        <f t="shared" si="33"/>
        <v>No PIP</v>
      </c>
      <c r="O417" t="str">
        <f t="shared" ca="1" si="34"/>
        <v>Not Eligible</v>
      </c>
    </row>
    <row r="418" spans="1:15" x14ac:dyDescent="0.25">
      <c r="A418" t="s">
        <v>42</v>
      </c>
      <c r="B418">
        <v>25</v>
      </c>
      <c r="C418">
        <v>50000</v>
      </c>
      <c r="D418" t="s">
        <v>9</v>
      </c>
      <c r="E418" t="s">
        <v>23</v>
      </c>
      <c r="F418" t="s">
        <v>16</v>
      </c>
      <c r="G418" s="1">
        <v>43845</v>
      </c>
      <c r="H418" s="1" t="s">
        <v>29</v>
      </c>
      <c r="I418" s="1" t="s">
        <v>25</v>
      </c>
      <c r="J418" s="1" t="s">
        <v>44</v>
      </c>
      <c r="K418" s="4">
        <f t="shared" ca="1" si="30"/>
        <v>6.2</v>
      </c>
      <c r="L418" t="str">
        <f t="shared" si="31"/>
        <v>Low</v>
      </c>
      <c r="M418" t="str">
        <f t="shared" si="32"/>
        <v>Medium</v>
      </c>
      <c r="N418" t="str">
        <f t="shared" si="33"/>
        <v>No PIP</v>
      </c>
      <c r="O418" t="str">
        <f t="shared" ca="1" si="34"/>
        <v>Not Eligible</v>
      </c>
    </row>
    <row r="419" spans="1:15" x14ac:dyDescent="0.25">
      <c r="A419" t="s">
        <v>42</v>
      </c>
      <c r="B419">
        <v>30</v>
      </c>
      <c r="C419">
        <v>70000</v>
      </c>
      <c r="D419" t="s">
        <v>14</v>
      </c>
      <c r="E419" t="s">
        <v>27</v>
      </c>
      <c r="F419" t="s">
        <v>28</v>
      </c>
      <c r="G419" s="1">
        <v>43845</v>
      </c>
      <c r="H419" s="1" t="s">
        <v>17</v>
      </c>
      <c r="I419" s="1" t="s">
        <v>44</v>
      </c>
      <c r="J419" s="1" t="s">
        <v>44</v>
      </c>
      <c r="K419" s="4">
        <f t="shared" ca="1" si="30"/>
        <v>6.2</v>
      </c>
      <c r="L419" t="str">
        <f t="shared" si="31"/>
        <v>High</v>
      </c>
      <c r="M419" t="str">
        <f t="shared" si="32"/>
        <v>Low</v>
      </c>
      <c r="N419" t="str">
        <f t="shared" si="33"/>
        <v>PIP</v>
      </c>
      <c r="O419" t="str">
        <f t="shared" ca="1" si="34"/>
        <v>Not Eligible</v>
      </c>
    </row>
    <row r="420" spans="1:15" x14ac:dyDescent="0.25">
      <c r="A420" t="s">
        <v>34</v>
      </c>
      <c r="B420">
        <v>50</v>
      </c>
      <c r="C420">
        <v>70000</v>
      </c>
      <c r="D420" t="s">
        <v>26</v>
      </c>
      <c r="E420" t="s">
        <v>10</v>
      </c>
      <c r="F420" t="s">
        <v>30</v>
      </c>
      <c r="G420" s="1">
        <v>43845</v>
      </c>
      <c r="H420" s="1" t="s">
        <v>17</v>
      </c>
      <c r="I420" s="1" t="s">
        <v>18</v>
      </c>
      <c r="J420" s="1" t="s">
        <v>44</v>
      </c>
      <c r="K420" s="4">
        <f t="shared" ca="1" si="30"/>
        <v>6.2</v>
      </c>
      <c r="L420" t="str">
        <f t="shared" si="31"/>
        <v>High</v>
      </c>
      <c r="M420" t="str">
        <f t="shared" si="32"/>
        <v>Low</v>
      </c>
      <c r="N420" t="str">
        <f t="shared" si="33"/>
        <v>PIP</v>
      </c>
      <c r="O420" t="str">
        <f t="shared" ca="1" si="34"/>
        <v>Not Eligible</v>
      </c>
    </row>
    <row r="421" spans="1:15" x14ac:dyDescent="0.25">
      <c r="A421" t="s">
        <v>35</v>
      </c>
      <c r="B421">
        <v>40</v>
      </c>
      <c r="C421">
        <v>60000</v>
      </c>
      <c r="D421" t="s">
        <v>26</v>
      </c>
      <c r="E421" t="s">
        <v>27</v>
      </c>
      <c r="F421" t="s">
        <v>30</v>
      </c>
      <c r="G421" s="1">
        <v>43845</v>
      </c>
      <c r="H421" s="1" t="s">
        <v>12</v>
      </c>
      <c r="I421" s="1" t="s">
        <v>13</v>
      </c>
      <c r="J421" s="1" t="s">
        <v>22</v>
      </c>
      <c r="K421" s="4">
        <f t="shared" ca="1" si="30"/>
        <v>6.2</v>
      </c>
      <c r="L421" t="str">
        <f t="shared" si="31"/>
        <v>Medium</v>
      </c>
      <c r="M421" t="str">
        <f t="shared" si="32"/>
        <v>Low</v>
      </c>
      <c r="N421" t="str">
        <f t="shared" si="33"/>
        <v>PIP</v>
      </c>
      <c r="O421" t="str">
        <f t="shared" ca="1" si="34"/>
        <v>Not Eligible</v>
      </c>
    </row>
    <row r="422" spans="1:15" x14ac:dyDescent="0.25">
      <c r="A422" t="s">
        <v>41</v>
      </c>
      <c r="B422">
        <v>40</v>
      </c>
      <c r="C422">
        <v>60216</v>
      </c>
      <c r="D422" t="s">
        <v>9</v>
      </c>
      <c r="E422" t="s">
        <v>20</v>
      </c>
      <c r="F422" t="s">
        <v>30</v>
      </c>
      <c r="G422" s="1">
        <v>43845</v>
      </c>
      <c r="H422" s="1" t="s">
        <v>17</v>
      </c>
      <c r="I422" s="1" t="s">
        <v>25</v>
      </c>
      <c r="J422" s="1" t="s">
        <v>32</v>
      </c>
      <c r="K422" s="4">
        <f t="shared" ca="1" si="30"/>
        <v>6.2</v>
      </c>
      <c r="L422" t="str">
        <f t="shared" si="31"/>
        <v>Medium</v>
      </c>
      <c r="M422" t="str">
        <f t="shared" si="32"/>
        <v>Low</v>
      </c>
      <c r="N422" t="str">
        <f t="shared" si="33"/>
        <v>PIP</v>
      </c>
      <c r="O422" t="str">
        <f t="shared" ca="1" si="34"/>
        <v>Not Eligible</v>
      </c>
    </row>
    <row r="423" spans="1:15" x14ac:dyDescent="0.25">
      <c r="A423" t="s">
        <v>38</v>
      </c>
      <c r="B423">
        <v>35</v>
      </c>
      <c r="C423">
        <v>55000</v>
      </c>
      <c r="D423" t="s">
        <v>26</v>
      </c>
      <c r="E423" t="s">
        <v>10</v>
      </c>
      <c r="F423" t="s">
        <v>31</v>
      </c>
      <c r="G423" s="1">
        <v>43845</v>
      </c>
      <c r="H423" s="1" t="s">
        <v>29</v>
      </c>
      <c r="I423" s="1" t="s">
        <v>44</v>
      </c>
      <c r="J423" s="1" t="s">
        <v>32</v>
      </c>
      <c r="K423" s="4">
        <f t="shared" ca="1" si="30"/>
        <v>6.2</v>
      </c>
      <c r="L423" t="str">
        <f t="shared" si="31"/>
        <v>Low</v>
      </c>
      <c r="M423" t="str">
        <f t="shared" si="32"/>
        <v>Medium</v>
      </c>
      <c r="N423" t="str">
        <f t="shared" si="33"/>
        <v>No PIP</v>
      </c>
      <c r="O423" t="str">
        <f t="shared" ca="1" si="34"/>
        <v>Not Eligible</v>
      </c>
    </row>
    <row r="424" spans="1:15" x14ac:dyDescent="0.25">
      <c r="A424" t="s">
        <v>33</v>
      </c>
      <c r="B424">
        <v>35</v>
      </c>
      <c r="C424">
        <v>55000</v>
      </c>
      <c r="D424" t="s">
        <v>9</v>
      </c>
      <c r="E424" t="s">
        <v>23</v>
      </c>
      <c r="F424" t="s">
        <v>28</v>
      </c>
      <c r="G424" s="1">
        <v>43845</v>
      </c>
      <c r="H424" s="1" t="s">
        <v>21</v>
      </c>
      <c r="I424" s="1" t="s">
        <v>13</v>
      </c>
      <c r="J424" s="1" t="s">
        <v>19</v>
      </c>
      <c r="K424" s="4">
        <f t="shared" ca="1" si="30"/>
        <v>6.2</v>
      </c>
      <c r="L424" t="str">
        <f t="shared" si="31"/>
        <v>Low</v>
      </c>
      <c r="M424" t="str">
        <f t="shared" si="32"/>
        <v>Medium</v>
      </c>
      <c r="N424" t="str">
        <f t="shared" si="33"/>
        <v>No PIP</v>
      </c>
      <c r="O424" t="str">
        <f t="shared" ca="1" si="34"/>
        <v>Not Eligible</v>
      </c>
    </row>
    <row r="425" spans="1:15" x14ac:dyDescent="0.25">
      <c r="A425" t="s">
        <v>36</v>
      </c>
      <c r="B425">
        <v>40</v>
      </c>
      <c r="C425">
        <v>50000</v>
      </c>
      <c r="D425" t="s">
        <v>14</v>
      </c>
      <c r="E425" t="s">
        <v>23</v>
      </c>
      <c r="F425" t="s">
        <v>28</v>
      </c>
      <c r="G425" s="1">
        <v>43845</v>
      </c>
      <c r="H425" s="1" t="s">
        <v>21</v>
      </c>
      <c r="I425" s="1" t="s">
        <v>44</v>
      </c>
      <c r="J425" s="1" t="s">
        <v>32</v>
      </c>
      <c r="K425" s="4">
        <f t="shared" ca="1" si="30"/>
        <v>6.2</v>
      </c>
      <c r="L425" t="str">
        <f t="shared" si="31"/>
        <v>Low</v>
      </c>
      <c r="M425" t="str">
        <f t="shared" si="32"/>
        <v>Medium</v>
      </c>
      <c r="N425" t="str">
        <f t="shared" si="33"/>
        <v>No PIP</v>
      </c>
      <c r="O425" t="str">
        <f t="shared" ca="1" si="34"/>
        <v>Not Eligible</v>
      </c>
    </row>
    <row r="426" spans="1:15" x14ac:dyDescent="0.25">
      <c r="A426" t="s">
        <v>41</v>
      </c>
      <c r="B426">
        <v>35</v>
      </c>
      <c r="C426">
        <v>55000</v>
      </c>
      <c r="D426" t="s">
        <v>9</v>
      </c>
      <c r="E426" t="s">
        <v>27</v>
      </c>
      <c r="F426" t="s">
        <v>30</v>
      </c>
      <c r="G426" s="1">
        <v>43845</v>
      </c>
      <c r="H426" s="1" t="s">
        <v>29</v>
      </c>
      <c r="I426" s="1" t="s">
        <v>13</v>
      </c>
      <c r="J426" s="1" t="s">
        <v>22</v>
      </c>
      <c r="K426" s="4">
        <f t="shared" ca="1" si="30"/>
        <v>6.2</v>
      </c>
      <c r="L426" t="str">
        <f t="shared" si="31"/>
        <v>Low</v>
      </c>
      <c r="M426" t="str">
        <f t="shared" si="32"/>
        <v>Medium</v>
      </c>
      <c r="N426" t="str">
        <f t="shared" si="33"/>
        <v>No PIP</v>
      </c>
      <c r="O426" t="str">
        <f t="shared" ca="1" si="34"/>
        <v>Not Eligible</v>
      </c>
    </row>
    <row r="427" spans="1:15" x14ac:dyDescent="0.25">
      <c r="A427" t="s">
        <v>40</v>
      </c>
      <c r="B427">
        <v>30</v>
      </c>
      <c r="C427">
        <v>55000</v>
      </c>
      <c r="D427" t="s">
        <v>14</v>
      </c>
      <c r="E427" t="s">
        <v>20</v>
      </c>
      <c r="F427" t="s">
        <v>11</v>
      </c>
      <c r="G427" s="1">
        <v>43845</v>
      </c>
      <c r="H427" s="1" t="s">
        <v>21</v>
      </c>
      <c r="I427" s="1" t="s">
        <v>44</v>
      </c>
      <c r="J427" s="1" t="s">
        <v>19</v>
      </c>
      <c r="K427" s="4">
        <f t="shared" ca="1" si="30"/>
        <v>6.2</v>
      </c>
      <c r="L427" t="str">
        <f t="shared" si="31"/>
        <v>Low</v>
      </c>
      <c r="M427" t="str">
        <f t="shared" si="32"/>
        <v>Medium</v>
      </c>
      <c r="N427" t="str">
        <f t="shared" si="33"/>
        <v>No PIP</v>
      </c>
      <c r="O427" t="str">
        <f t="shared" ca="1" si="34"/>
        <v>Not Eligible</v>
      </c>
    </row>
    <row r="428" spans="1:15" x14ac:dyDescent="0.25">
      <c r="A428" t="s">
        <v>38</v>
      </c>
      <c r="B428">
        <v>35</v>
      </c>
      <c r="C428">
        <v>65000</v>
      </c>
      <c r="D428" t="s">
        <v>14</v>
      </c>
      <c r="E428" t="s">
        <v>10</v>
      </c>
      <c r="F428" t="s">
        <v>30</v>
      </c>
      <c r="G428" s="1">
        <v>43845</v>
      </c>
      <c r="H428" s="1" t="s">
        <v>12</v>
      </c>
      <c r="I428" s="1" t="s">
        <v>25</v>
      </c>
      <c r="J428" s="1" t="s">
        <v>19</v>
      </c>
      <c r="K428" s="4">
        <f t="shared" ca="1" si="30"/>
        <v>6.2</v>
      </c>
      <c r="L428" t="str">
        <f t="shared" si="31"/>
        <v>High</v>
      </c>
      <c r="M428" t="str">
        <f t="shared" si="32"/>
        <v>Low</v>
      </c>
      <c r="N428" t="str">
        <f t="shared" si="33"/>
        <v>PIP</v>
      </c>
      <c r="O428" t="str">
        <f t="shared" ca="1" si="34"/>
        <v>Not Eligible</v>
      </c>
    </row>
    <row r="429" spans="1:15" x14ac:dyDescent="0.25">
      <c r="A429" t="s">
        <v>36</v>
      </c>
      <c r="B429">
        <v>50</v>
      </c>
      <c r="C429">
        <v>60000</v>
      </c>
      <c r="D429" t="s">
        <v>14</v>
      </c>
      <c r="E429" t="s">
        <v>20</v>
      </c>
      <c r="F429" t="s">
        <v>11</v>
      </c>
      <c r="G429" s="1">
        <v>43845</v>
      </c>
      <c r="H429" s="1" t="s">
        <v>17</v>
      </c>
      <c r="I429" s="1" t="s">
        <v>18</v>
      </c>
      <c r="J429" s="1" t="s">
        <v>32</v>
      </c>
      <c r="K429" s="4">
        <f t="shared" ca="1" si="30"/>
        <v>6.2</v>
      </c>
      <c r="L429" t="str">
        <f t="shared" si="31"/>
        <v>Medium</v>
      </c>
      <c r="M429" t="str">
        <f t="shared" si="32"/>
        <v>Low</v>
      </c>
      <c r="N429" t="str">
        <f t="shared" si="33"/>
        <v>PIP</v>
      </c>
      <c r="O429" t="str">
        <f t="shared" ca="1" si="34"/>
        <v>Not Eligible</v>
      </c>
    </row>
    <row r="430" spans="1:15" x14ac:dyDescent="0.25">
      <c r="A430" t="s">
        <v>35</v>
      </c>
      <c r="B430">
        <v>30</v>
      </c>
      <c r="C430">
        <v>70000</v>
      </c>
      <c r="D430" t="s">
        <v>9</v>
      </c>
      <c r="E430" t="s">
        <v>23</v>
      </c>
      <c r="F430" t="s">
        <v>30</v>
      </c>
      <c r="G430" s="1">
        <v>43845</v>
      </c>
      <c r="H430" s="1" t="s">
        <v>12</v>
      </c>
      <c r="I430" s="1" t="s">
        <v>18</v>
      </c>
      <c r="J430" s="1" t="s">
        <v>44</v>
      </c>
      <c r="K430" s="4">
        <f t="shared" ca="1" si="30"/>
        <v>6.2</v>
      </c>
      <c r="L430" t="str">
        <f t="shared" si="31"/>
        <v>High</v>
      </c>
      <c r="M430" t="str">
        <f t="shared" si="32"/>
        <v>Low</v>
      </c>
      <c r="N430" t="str">
        <f t="shared" si="33"/>
        <v>PIP</v>
      </c>
      <c r="O430" t="str">
        <f t="shared" ca="1" si="34"/>
        <v>Not Eligible</v>
      </c>
    </row>
    <row r="431" spans="1:15" x14ac:dyDescent="0.25">
      <c r="A431" t="s">
        <v>37</v>
      </c>
      <c r="B431">
        <v>35</v>
      </c>
      <c r="C431">
        <v>65000</v>
      </c>
      <c r="D431" t="s">
        <v>26</v>
      </c>
      <c r="E431" t="s">
        <v>27</v>
      </c>
      <c r="F431" t="s">
        <v>16</v>
      </c>
      <c r="G431" s="1">
        <v>43549</v>
      </c>
      <c r="H431" s="1" t="s">
        <v>17</v>
      </c>
      <c r="I431" s="1" t="s">
        <v>18</v>
      </c>
      <c r="J431" s="1" t="s">
        <v>44</v>
      </c>
      <c r="K431" s="4">
        <f t="shared" ca="1" si="30"/>
        <v>7.1</v>
      </c>
      <c r="L431" t="str">
        <f t="shared" si="31"/>
        <v>High</v>
      </c>
      <c r="M431" t="str">
        <f t="shared" si="32"/>
        <v>Low</v>
      </c>
      <c r="N431" t="str">
        <f t="shared" si="33"/>
        <v>PIP</v>
      </c>
      <c r="O431" t="str">
        <f t="shared" ca="1" si="34"/>
        <v>Not Eligible</v>
      </c>
    </row>
    <row r="432" spans="1:15" x14ac:dyDescent="0.25">
      <c r="A432" t="s">
        <v>33</v>
      </c>
      <c r="B432">
        <v>40</v>
      </c>
      <c r="C432">
        <v>50000</v>
      </c>
      <c r="D432" t="s">
        <v>26</v>
      </c>
      <c r="E432" t="s">
        <v>10</v>
      </c>
      <c r="F432" t="s">
        <v>16</v>
      </c>
      <c r="G432" s="1">
        <v>43549</v>
      </c>
      <c r="H432" s="1" t="s">
        <v>21</v>
      </c>
      <c r="I432" s="1" t="s">
        <v>44</v>
      </c>
      <c r="J432" s="1" t="s">
        <v>44</v>
      </c>
      <c r="K432" s="4">
        <f t="shared" ca="1" si="30"/>
        <v>7.1</v>
      </c>
      <c r="L432" t="str">
        <f t="shared" si="31"/>
        <v>Low</v>
      </c>
      <c r="M432" t="str">
        <f t="shared" si="32"/>
        <v>Medium</v>
      </c>
      <c r="N432" t="str">
        <f t="shared" si="33"/>
        <v>No PIP</v>
      </c>
      <c r="O432" t="str">
        <f t="shared" ca="1" si="34"/>
        <v>Not Eligible</v>
      </c>
    </row>
    <row r="433" spans="1:15" x14ac:dyDescent="0.25">
      <c r="A433" t="s">
        <v>35</v>
      </c>
      <c r="B433">
        <v>35</v>
      </c>
      <c r="C433">
        <v>70000</v>
      </c>
      <c r="D433" t="s">
        <v>26</v>
      </c>
      <c r="E433" t="s">
        <v>15</v>
      </c>
      <c r="F433" t="s">
        <v>30</v>
      </c>
      <c r="G433" s="1">
        <v>43549</v>
      </c>
      <c r="H433" s="1" t="s">
        <v>24</v>
      </c>
      <c r="I433" s="1" t="s">
        <v>44</v>
      </c>
      <c r="J433" s="1" t="s">
        <v>44</v>
      </c>
      <c r="K433" s="4">
        <f t="shared" ca="1" si="30"/>
        <v>7.1</v>
      </c>
      <c r="L433" t="str">
        <f t="shared" si="31"/>
        <v>High</v>
      </c>
      <c r="M433" t="str">
        <f t="shared" si="32"/>
        <v>High</v>
      </c>
      <c r="N433" t="str">
        <f t="shared" si="33"/>
        <v>No PIP</v>
      </c>
      <c r="O433" t="str">
        <f t="shared" ca="1" si="34"/>
        <v>Eligible</v>
      </c>
    </row>
    <row r="434" spans="1:15" x14ac:dyDescent="0.25">
      <c r="A434" t="s">
        <v>39</v>
      </c>
      <c r="B434">
        <v>50</v>
      </c>
      <c r="C434">
        <v>60216</v>
      </c>
      <c r="D434" t="s">
        <v>9</v>
      </c>
      <c r="E434" t="s">
        <v>27</v>
      </c>
      <c r="F434" t="s">
        <v>16</v>
      </c>
      <c r="G434" s="1">
        <v>43549</v>
      </c>
      <c r="H434" s="1" t="s">
        <v>24</v>
      </c>
      <c r="I434" s="1" t="s">
        <v>44</v>
      </c>
      <c r="J434" s="1" t="s">
        <v>19</v>
      </c>
      <c r="K434" s="4">
        <f t="shared" ca="1" si="30"/>
        <v>7.1</v>
      </c>
      <c r="L434" t="str">
        <f t="shared" si="31"/>
        <v>Medium</v>
      </c>
      <c r="M434" t="str">
        <f t="shared" si="32"/>
        <v>High</v>
      </c>
      <c r="N434" t="str">
        <f t="shared" si="33"/>
        <v>No PIP</v>
      </c>
      <c r="O434" t="str">
        <f t="shared" ca="1" si="34"/>
        <v>Eligible</v>
      </c>
    </row>
    <row r="435" spans="1:15" x14ac:dyDescent="0.25">
      <c r="A435" t="s">
        <v>39</v>
      </c>
      <c r="B435">
        <v>25</v>
      </c>
      <c r="C435">
        <v>60216</v>
      </c>
      <c r="D435" t="s">
        <v>14</v>
      </c>
      <c r="E435" t="s">
        <v>23</v>
      </c>
      <c r="F435" t="s">
        <v>28</v>
      </c>
      <c r="G435" s="1">
        <v>43549</v>
      </c>
      <c r="H435" s="1" t="s">
        <v>29</v>
      </c>
      <c r="I435" s="1" t="s">
        <v>13</v>
      </c>
      <c r="J435" s="1" t="s">
        <v>32</v>
      </c>
      <c r="K435" s="4">
        <f t="shared" ca="1" si="30"/>
        <v>7.1</v>
      </c>
      <c r="L435" t="str">
        <f t="shared" si="31"/>
        <v>Medium</v>
      </c>
      <c r="M435" t="str">
        <f t="shared" si="32"/>
        <v>Medium</v>
      </c>
      <c r="N435" t="str">
        <f t="shared" si="33"/>
        <v>No PIP</v>
      </c>
      <c r="O435" t="str">
        <f t="shared" ca="1" si="34"/>
        <v>Not Eligible</v>
      </c>
    </row>
    <row r="436" spans="1:15" x14ac:dyDescent="0.25">
      <c r="A436" t="s">
        <v>40</v>
      </c>
      <c r="B436">
        <v>50</v>
      </c>
      <c r="C436">
        <v>50000</v>
      </c>
      <c r="D436" t="s">
        <v>14</v>
      </c>
      <c r="E436" t="s">
        <v>15</v>
      </c>
      <c r="F436" t="s">
        <v>30</v>
      </c>
      <c r="G436" s="1">
        <v>43549</v>
      </c>
      <c r="H436" s="1" t="s">
        <v>12</v>
      </c>
      <c r="I436" s="1" t="s">
        <v>18</v>
      </c>
      <c r="J436" s="1" t="s">
        <v>44</v>
      </c>
      <c r="K436" s="4">
        <f t="shared" ca="1" si="30"/>
        <v>7.1</v>
      </c>
      <c r="L436" t="str">
        <f t="shared" si="31"/>
        <v>Low</v>
      </c>
      <c r="M436" t="str">
        <f t="shared" si="32"/>
        <v>Low</v>
      </c>
      <c r="N436" t="str">
        <f t="shared" si="33"/>
        <v>PIP</v>
      </c>
      <c r="O436" t="str">
        <f t="shared" ca="1" si="34"/>
        <v>Not Eligible</v>
      </c>
    </row>
    <row r="437" spans="1:15" x14ac:dyDescent="0.25">
      <c r="A437" t="s">
        <v>38</v>
      </c>
      <c r="B437">
        <v>35</v>
      </c>
      <c r="C437">
        <v>50000</v>
      </c>
      <c r="D437" t="s">
        <v>26</v>
      </c>
      <c r="E437" t="s">
        <v>20</v>
      </c>
      <c r="F437" t="s">
        <v>28</v>
      </c>
      <c r="G437" s="1">
        <v>43549</v>
      </c>
      <c r="H437" s="1" t="s">
        <v>21</v>
      </c>
      <c r="I437" s="1" t="s">
        <v>25</v>
      </c>
      <c r="J437" s="1" t="s">
        <v>44</v>
      </c>
      <c r="K437" s="4">
        <f t="shared" ca="1" si="30"/>
        <v>7.1</v>
      </c>
      <c r="L437" t="str">
        <f t="shared" si="31"/>
        <v>Low</v>
      </c>
      <c r="M437" t="str">
        <f t="shared" si="32"/>
        <v>Medium</v>
      </c>
      <c r="N437" t="str">
        <f t="shared" si="33"/>
        <v>No PIP</v>
      </c>
      <c r="O437" t="str">
        <f t="shared" ca="1" si="34"/>
        <v>Not Eligible</v>
      </c>
    </row>
    <row r="438" spans="1:15" x14ac:dyDescent="0.25">
      <c r="A438" t="s">
        <v>37</v>
      </c>
      <c r="B438">
        <v>35</v>
      </c>
      <c r="C438">
        <v>60000</v>
      </c>
      <c r="D438" t="s">
        <v>26</v>
      </c>
      <c r="E438" t="s">
        <v>20</v>
      </c>
      <c r="F438" t="s">
        <v>31</v>
      </c>
      <c r="G438" s="1">
        <v>43549</v>
      </c>
      <c r="H438" s="1" t="s">
        <v>12</v>
      </c>
      <c r="I438" s="1" t="s">
        <v>44</v>
      </c>
      <c r="J438" s="1" t="s">
        <v>19</v>
      </c>
      <c r="K438" s="4">
        <f t="shared" ca="1" si="30"/>
        <v>7.1</v>
      </c>
      <c r="L438" t="str">
        <f t="shared" si="31"/>
        <v>Medium</v>
      </c>
      <c r="M438" t="str">
        <f t="shared" si="32"/>
        <v>Low</v>
      </c>
      <c r="N438" t="str">
        <f t="shared" si="33"/>
        <v>PIP</v>
      </c>
      <c r="O438" t="str">
        <f t="shared" ca="1" si="34"/>
        <v>Not Eligible</v>
      </c>
    </row>
    <row r="439" spans="1:15" x14ac:dyDescent="0.25">
      <c r="A439" t="s">
        <v>36</v>
      </c>
      <c r="B439">
        <v>25</v>
      </c>
      <c r="C439">
        <v>50000</v>
      </c>
      <c r="D439" t="s">
        <v>14</v>
      </c>
      <c r="E439" t="s">
        <v>27</v>
      </c>
      <c r="F439" t="s">
        <v>11</v>
      </c>
      <c r="G439" s="1">
        <v>43549</v>
      </c>
      <c r="H439" s="1" t="s">
        <v>29</v>
      </c>
      <c r="I439" s="1" t="s">
        <v>44</v>
      </c>
      <c r="J439" s="1" t="s">
        <v>44</v>
      </c>
      <c r="K439" s="4">
        <f t="shared" ca="1" si="30"/>
        <v>7.1</v>
      </c>
      <c r="L439" t="str">
        <f t="shared" si="31"/>
        <v>Low</v>
      </c>
      <c r="M439" t="str">
        <f t="shared" si="32"/>
        <v>Medium</v>
      </c>
      <c r="N439" t="str">
        <f t="shared" si="33"/>
        <v>No PIP</v>
      </c>
      <c r="O439" t="str">
        <f t="shared" ca="1" si="34"/>
        <v>Not Eligible</v>
      </c>
    </row>
    <row r="440" spans="1:15" x14ac:dyDescent="0.25">
      <c r="A440" t="s">
        <v>40</v>
      </c>
      <c r="B440">
        <v>30</v>
      </c>
      <c r="C440">
        <v>60216</v>
      </c>
      <c r="D440" t="s">
        <v>26</v>
      </c>
      <c r="E440" t="s">
        <v>10</v>
      </c>
      <c r="F440" t="s">
        <v>30</v>
      </c>
      <c r="G440" s="1">
        <v>43549</v>
      </c>
      <c r="H440" s="1" t="s">
        <v>24</v>
      </c>
      <c r="I440" s="1" t="s">
        <v>13</v>
      </c>
      <c r="J440" s="1" t="s">
        <v>22</v>
      </c>
      <c r="K440" s="4">
        <f t="shared" ca="1" si="30"/>
        <v>7.1</v>
      </c>
      <c r="L440" t="str">
        <f t="shared" si="31"/>
        <v>Medium</v>
      </c>
      <c r="M440" t="str">
        <f t="shared" si="32"/>
        <v>High</v>
      </c>
      <c r="N440" t="str">
        <f t="shared" si="33"/>
        <v>No PIP</v>
      </c>
      <c r="O440" t="str">
        <f t="shared" ca="1" si="34"/>
        <v>Eligible</v>
      </c>
    </row>
    <row r="441" spans="1:15" x14ac:dyDescent="0.25">
      <c r="A441" t="s">
        <v>40</v>
      </c>
      <c r="B441">
        <v>35</v>
      </c>
      <c r="C441">
        <v>70000</v>
      </c>
      <c r="D441" t="s">
        <v>14</v>
      </c>
      <c r="E441" t="s">
        <v>23</v>
      </c>
      <c r="F441" t="s">
        <v>16</v>
      </c>
      <c r="G441" s="1">
        <v>43549</v>
      </c>
      <c r="H441" s="1" t="s">
        <v>24</v>
      </c>
      <c r="I441" s="1" t="s">
        <v>44</v>
      </c>
      <c r="J441" s="1" t="s">
        <v>22</v>
      </c>
      <c r="K441" s="4">
        <f t="shared" ca="1" si="30"/>
        <v>7.1</v>
      </c>
      <c r="L441" t="str">
        <f t="shared" si="31"/>
        <v>High</v>
      </c>
      <c r="M441" t="str">
        <f t="shared" si="32"/>
        <v>High</v>
      </c>
      <c r="N441" t="str">
        <f t="shared" si="33"/>
        <v>No PIP</v>
      </c>
      <c r="O441" t="str">
        <f t="shared" ca="1" si="34"/>
        <v>Eligible</v>
      </c>
    </row>
    <row r="442" spans="1:15" x14ac:dyDescent="0.25">
      <c r="A442" t="s">
        <v>35</v>
      </c>
      <c r="B442">
        <v>25</v>
      </c>
      <c r="C442">
        <v>60000</v>
      </c>
      <c r="D442" t="s">
        <v>9</v>
      </c>
      <c r="E442" t="s">
        <v>15</v>
      </c>
      <c r="F442" t="s">
        <v>11</v>
      </c>
      <c r="G442" s="1">
        <v>43549</v>
      </c>
      <c r="H442" s="1" t="s">
        <v>29</v>
      </c>
      <c r="I442" s="1" t="s">
        <v>44</v>
      </c>
      <c r="J442" s="1" t="s">
        <v>44</v>
      </c>
      <c r="K442" s="4">
        <f t="shared" ca="1" si="30"/>
        <v>7.1</v>
      </c>
      <c r="L442" t="str">
        <f t="shared" si="31"/>
        <v>Medium</v>
      </c>
      <c r="M442" t="str">
        <f t="shared" si="32"/>
        <v>Medium</v>
      </c>
      <c r="N442" t="str">
        <f t="shared" si="33"/>
        <v>No PIP</v>
      </c>
      <c r="O442" t="str">
        <f t="shared" ca="1" si="34"/>
        <v>Not Eligible</v>
      </c>
    </row>
    <row r="443" spans="1:15" x14ac:dyDescent="0.25">
      <c r="A443" t="s">
        <v>34</v>
      </c>
      <c r="B443">
        <v>35</v>
      </c>
      <c r="C443">
        <v>65000</v>
      </c>
      <c r="D443" t="s">
        <v>14</v>
      </c>
      <c r="E443" t="s">
        <v>20</v>
      </c>
      <c r="F443" t="s">
        <v>31</v>
      </c>
      <c r="G443" s="1">
        <v>43549</v>
      </c>
      <c r="H443" s="1" t="s">
        <v>24</v>
      </c>
      <c r="I443" s="1" t="s">
        <v>18</v>
      </c>
      <c r="J443" s="1" t="s">
        <v>19</v>
      </c>
      <c r="K443" s="4">
        <f t="shared" ca="1" si="30"/>
        <v>7.1</v>
      </c>
      <c r="L443" t="str">
        <f t="shared" si="31"/>
        <v>High</v>
      </c>
      <c r="M443" t="str">
        <f t="shared" si="32"/>
        <v>High</v>
      </c>
      <c r="N443" t="str">
        <f t="shared" si="33"/>
        <v>No PIP</v>
      </c>
      <c r="O443" t="str">
        <f t="shared" ca="1" si="34"/>
        <v>Eligible</v>
      </c>
    </row>
    <row r="444" spans="1:15" x14ac:dyDescent="0.25">
      <c r="A444" t="s">
        <v>39</v>
      </c>
      <c r="B444">
        <v>25</v>
      </c>
      <c r="C444">
        <v>60000</v>
      </c>
      <c r="D444" t="s">
        <v>9</v>
      </c>
      <c r="E444" t="s">
        <v>15</v>
      </c>
      <c r="F444" t="s">
        <v>28</v>
      </c>
      <c r="G444" s="1">
        <v>43549</v>
      </c>
      <c r="H444" s="1" t="s">
        <v>12</v>
      </c>
      <c r="I444" s="1" t="s">
        <v>44</v>
      </c>
      <c r="J444" s="1" t="s">
        <v>22</v>
      </c>
      <c r="K444" s="4">
        <f t="shared" ca="1" si="30"/>
        <v>7.1</v>
      </c>
      <c r="L444" t="str">
        <f t="shared" si="31"/>
        <v>Medium</v>
      </c>
      <c r="M444" t="str">
        <f t="shared" si="32"/>
        <v>Low</v>
      </c>
      <c r="N444" t="str">
        <f t="shared" si="33"/>
        <v>PIP</v>
      </c>
      <c r="O444" t="str">
        <f t="shared" ca="1" si="34"/>
        <v>Not Eligible</v>
      </c>
    </row>
    <row r="445" spans="1:15" x14ac:dyDescent="0.25">
      <c r="A445" t="s">
        <v>37</v>
      </c>
      <c r="B445">
        <v>50</v>
      </c>
      <c r="C445">
        <v>60216</v>
      </c>
      <c r="D445" t="s">
        <v>26</v>
      </c>
      <c r="E445" t="s">
        <v>20</v>
      </c>
      <c r="F445" t="s">
        <v>16</v>
      </c>
      <c r="G445" s="1">
        <v>43549</v>
      </c>
      <c r="H445" s="1" t="s">
        <v>29</v>
      </c>
      <c r="I445" s="1" t="s">
        <v>25</v>
      </c>
      <c r="J445" s="1" t="s">
        <v>22</v>
      </c>
      <c r="K445" s="4">
        <f t="shared" ca="1" si="30"/>
        <v>7.1</v>
      </c>
      <c r="L445" t="str">
        <f t="shared" si="31"/>
        <v>Medium</v>
      </c>
      <c r="M445" t="str">
        <f t="shared" si="32"/>
        <v>Medium</v>
      </c>
      <c r="N445" t="str">
        <f t="shared" si="33"/>
        <v>No PIP</v>
      </c>
      <c r="O445" t="str">
        <f t="shared" ca="1" si="34"/>
        <v>Not Eligible</v>
      </c>
    </row>
    <row r="446" spans="1:15" x14ac:dyDescent="0.25">
      <c r="A446" t="s">
        <v>37</v>
      </c>
      <c r="B446">
        <v>25</v>
      </c>
      <c r="C446">
        <v>60000</v>
      </c>
      <c r="D446" t="s">
        <v>14</v>
      </c>
      <c r="E446" t="s">
        <v>27</v>
      </c>
      <c r="F446" t="s">
        <v>30</v>
      </c>
      <c r="G446" s="1">
        <v>43549</v>
      </c>
      <c r="H446" s="1" t="s">
        <v>12</v>
      </c>
      <c r="I446" s="1" t="s">
        <v>44</v>
      </c>
      <c r="J446" s="1" t="s">
        <v>32</v>
      </c>
      <c r="K446" s="4">
        <f t="shared" ca="1" si="30"/>
        <v>7.1</v>
      </c>
      <c r="L446" t="str">
        <f t="shared" si="31"/>
        <v>Medium</v>
      </c>
      <c r="M446" t="str">
        <f t="shared" si="32"/>
        <v>Low</v>
      </c>
      <c r="N446" t="str">
        <f t="shared" si="33"/>
        <v>PIP</v>
      </c>
      <c r="O446" t="str">
        <f t="shared" ca="1" si="34"/>
        <v>Not Eligible</v>
      </c>
    </row>
    <row r="447" spans="1:15" x14ac:dyDescent="0.25">
      <c r="A447" t="s">
        <v>36</v>
      </c>
      <c r="B447">
        <v>35</v>
      </c>
      <c r="C447">
        <v>60216</v>
      </c>
      <c r="D447" t="s">
        <v>9</v>
      </c>
      <c r="E447" t="s">
        <v>15</v>
      </c>
      <c r="F447" t="s">
        <v>16</v>
      </c>
      <c r="G447" s="1">
        <v>43549</v>
      </c>
      <c r="H447" s="1" t="s">
        <v>17</v>
      </c>
      <c r="I447" s="1" t="s">
        <v>13</v>
      </c>
      <c r="J447" s="1" t="s">
        <v>44</v>
      </c>
      <c r="K447" s="4">
        <f t="shared" ca="1" si="30"/>
        <v>7.1</v>
      </c>
      <c r="L447" t="str">
        <f t="shared" si="31"/>
        <v>Medium</v>
      </c>
      <c r="M447" t="str">
        <f t="shared" si="32"/>
        <v>Low</v>
      </c>
      <c r="N447" t="str">
        <f t="shared" si="33"/>
        <v>PIP</v>
      </c>
      <c r="O447" t="str">
        <f t="shared" ca="1" si="34"/>
        <v>Not Eligible</v>
      </c>
    </row>
    <row r="448" spans="1:15" x14ac:dyDescent="0.25">
      <c r="A448" t="s">
        <v>36</v>
      </c>
      <c r="B448">
        <v>40</v>
      </c>
      <c r="C448">
        <v>60000</v>
      </c>
      <c r="D448" t="s">
        <v>14</v>
      </c>
      <c r="E448" t="s">
        <v>15</v>
      </c>
      <c r="F448" t="s">
        <v>16</v>
      </c>
      <c r="G448" s="1">
        <v>43549</v>
      </c>
      <c r="H448" s="1" t="s">
        <v>21</v>
      </c>
      <c r="I448" s="1" t="s">
        <v>44</v>
      </c>
      <c r="J448" s="1" t="s">
        <v>19</v>
      </c>
      <c r="K448" s="4">
        <f t="shared" ca="1" si="30"/>
        <v>7.1</v>
      </c>
      <c r="L448" t="str">
        <f t="shared" si="31"/>
        <v>Medium</v>
      </c>
      <c r="M448" t="str">
        <f t="shared" si="32"/>
        <v>Medium</v>
      </c>
      <c r="N448" t="str">
        <f t="shared" si="33"/>
        <v>No PIP</v>
      </c>
      <c r="O448" t="str">
        <f t="shared" ca="1" si="34"/>
        <v>Not Eligible</v>
      </c>
    </row>
    <row r="449" spans="1:15" x14ac:dyDescent="0.25">
      <c r="A449" t="s">
        <v>42</v>
      </c>
      <c r="B449">
        <v>25</v>
      </c>
      <c r="C449">
        <v>60216</v>
      </c>
      <c r="D449" t="s">
        <v>9</v>
      </c>
      <c r="E449" t="s">
        <v>10</v>
      </c>
      <c r="F449" t="s">
        <v>16</v>
      </c>
      <c r="G449" s="1">
        <v>43549</v>
      </c>
      <c r="H449" s="1" t="s">
        <v>12</v>
      </c>
      <c r="I449" s="1" t="s">
        <v>25</v>
      </c>
      <c r="J449" s="1" t="s">
        <v>22</v>
      </c>
      <c r="K449" s="4">
        <f t="shared" ca="1" si="30"/>
        <v>7.1</v>
      </c>
      <c r="L449" t="str">
        <f t="shared" si="31"/>
        <v>Medium</v>
      </c>
      <c r="M449" t="str">
        <f t="shared" si="32"/>
        <v>Low</v>
      </c>
      <c r="N449" t="str">
        <f t="shared" si="33"/>
        <v>PIP</v>
      </c>
      <c r="O449" t="str">
        <f t="shared" ca="1" si="34"/>
        <v>Not Eligible</v>
      </c>
    </row>
    <row r="450" spans="1:15" x14ac:dyDescent="0.25">
      <c r="A450" t="s">
        <v>41</v>
      </c>
      <c r="B450">
        <v>50</v>
      </c>
      <c r="C450">
        <v>65000</v>
      </c>
      <c r="D450" t="s">
        <v>26</v>
      </c>
      <c r="E450" t="s">
        <v>10</v>
      </c>
      <c r="F450" t="s">
        <v>30</v>
      </c>
      <c r="G450" s="1">
        <v>43549</v>
      </c>
      <c r="H450" s="1" t="s">
        <v>21</v>
      </c>
      <c r="I450" s="1" t="s">
        <v>13</v>
      </c>
      <c r="J450" s="1" t="s">
        <v>32</v>
      </c>
      <c r="K450" s="4">
        <f t="shared" ca="1" si="30"/>
        <v>7.1</v>
      </c>
      <c r="L450" t="str">
        <f t="shared" si="31"/>
        <v>High</v>
      </c>
      <c r="M450" t="str">
        <f t="shared" si="32"/>
        <v>Medium</v>
      </c>
      <c r="N450" t="str">
        <f t="shared" si="33"/>
        <v>No PIP</v>
      </c>
      <c r="O450" t="str">
        <f t="shared" ca="1" si="34"/>
        <v>Not Eligible</v>
      </c>
    </row>
    <row r="451" spans="1:15" x14ac:dyDescent="0.25">
      <c r="A451" t="s">
        <v>35</v>
      </c>
      <c r="B451">
        <v>35</v>
      </c>
      <c r="C451">
        <v>65000</v>
      </c>
      <c r="D451" t="s">
        <v>26</v>
      </c>
      <c r="E451" t="s">
        <v>23</v>
      </c>
      <c r="F451" t="s">
        <v>11</v>
      </c>
      <c r="G451" s="1">
        <v>43549</v>
      </c>
      <c r="H451" s="1" t="s">
        <v>29</v>
      </c>
      <c r="I451" s="1" t="s">
        <v>25</v>
      </c>
      <c r="J451" s="1" t="s">
        <v>44</v>
      </c>
      <c r="K451" s="4">
        <f t="shared" ref="K451:K514" ca="1" si="35">ROUND((TODAY()-G451)/365,1)</f>
        <v>7.1</v>
      </c>
      <c r="L451" t="str">
        <f t="shared" ref="L451:L514" si="36">IF(C451&lt;60000,"Low", IF(C451&lt;65000,"Medium","High"))</f>
        <v>High</v>
      </c>
      <c r="M451" t="str">
        <f t="shared" ref="M451:M514" si="37">IF(H451="A","High",IF(OR(H451="B",H451="C"),"Medium","Low"))</f>
        <v>Medium</v>
      </c>
      <c r="N451" t="str">
        <f t="shared" ref="N451:N514" si="38">IF(M451="Low","PIP","No PIP")</f>
        <v>No PIP</v>
      </c>
      <c r="O451" t="str">
        <f t="shared" ref="O451:O514" ca="1" si="39">IF(AND(M451="High",K451&gt;3),"Eligible","Not Eligible")</f>
        <v>Not Eligible</v>
      </c>
    </row>
    <row r="452" spans="1:15" x14ac:dyDescent="0.25">
      <c r="A452" t="s">
        <v>38</v>
      </c>
      <c r="B452">
        <v>35</v>
      </c>
      <c r="C452">
        <v>60000</v>
      </c>
      <c r="D452" t="s">
        <v>26</v>
      </c>
      <c r="E452" t="s">
        <v>20</v>
      </c>
      <c r="F452" t="s">
        <v>11</v>
      </c>
      <c r="G452" s="1">
        <v>43549</v>
      </c>
      <c r="H452" s="1" t="s">
        <v>29</v>
      </c>
      <c r="I452" s="1" t="s">
        <v>13</v>
      </c>
      <c r="J452" s="1" t="s">
        <v>32</v>
      </c>
      <c r="K452" s="4">
        <f t="shared" ca="1" si="35"/>
        <v>7.1</v>
      </c>
      <c r="L452" t="str">
        <f t="shared" si="36"/>
        <v>Medium</v>
      </c>
      <c r="M452" t="str">
        <f t="shared" si="37"/>
        <v>Medium</v>
      </c>
      <c r="N452" t="str">
        <f t="shared" si="38"/>
        <v>No PIP</v>
      </c>
      <c r="O452" t="str">
        <f t="shared" ca="1" si="39"/>
        <v>Not Eligible</v>
      </c>
    </row>
    <row r="453" spans="1:15" x14ac:dyDescent="0.25">
      <c r="A453" t="s">
        <v>41</v>
      </c>
      <c r="B453">
        <v>50</v>
      </c>
      <c r="C453">
        <v>60216</v>
      </c>
      <c r="D453" t="s">
        <v>14</v>
      </c>
      <c r="E453" t="s">
        <v>20</v>
      </c>
      <c r="F453" t="s">
        <v>11</v>
      </c>
      <c r="G453" s="1">
        <v>43549</v>
      </c>
      <c r="H453" s="1" t="s">
        <v>29</v>
      </c>
      <c r="I453" s="1" t="s">
        <v>44</v>
      </c>
      <c r="J453" s="1" t="s">
        <v>44</v>
      </c>
      <c r="K453" s="4">
        <f t="shared" ca="1" si="35"/>
        <v>7.1</v>
      </c>
      <c r="L453" t="str">
        <f t="shared" si="36"/>
        <v>Medium</v>
      </c>
      <c r="M453" t="str">
        <f t="shared" si="37"/>
        <v>Medium</v>
      </c>
      <c r="N453" t="str">
        <f t="shared" si="38"/>
        <v>No PIP</v>
      </c>
      <c r="O453" t="str">
        <f t="shared" ca="1" si="39"/>
        <v>Not Eligible</v>
      </c>
    </row>
    <row r="454" spans="1:15" x14ac:dyDescent="0.25">
      <c r="A454" t="s">
        <v>42</v>
      </c>
      <c r="B454">
        <v>40</v>
      </c>
      <c r="C454">
        <v>70000</v>
      </c>
      <c r="D454" t="s">
        <v>26</v>
      </c>
      <c r="E454" t="s">
        <v>27</v>
      </c>
      <c r="F454" t="s">
        <v>31</v>
      </c>
      <c r="G454" s="1">
        <v>43549</v>
      </c>
      <c r="H454" s="1" t="s">
        <v>29</v>
      </c>
      <c r="I454" s="1" t="s">
        <v>18</v>
      </c>
      <c r="J454" s="1" t="s">
        <v>19</v>
      </c>
      <c r="K454" s="4">
        <f t="shared" ca="1" si="35"/>
        <v>7.1</v>
      </c>
      <c r="L454" t="str">
        <f t="shared" si="36"/>
        <v>High</v>
      </c>
      <c r="M454" t="str">
        <f t="shared" si="37"/>
        <v>Medium</v>
      </c>
      <c r="N454" t="str">
        <f t="shared" si="38"/>
        <v>No PIP</v>
      </c>
      <c r="O454" t="str">
        <f t="shared" ca="1" si="39"/>
        <v>Not Eligible</v>
      </c>
    </row>
    <row r="455" spans="1:15" x14ac:dyDescent="0.25">
      <c r="A455" t="s">
        <v>40</v>
      </c>
      <c r="B455">
        <v>25</v>
      </c>
      <c r="C455">
        <v>65000</v>
      </c>
      <c r="D455" t="s">
        <v>9</v>
      </c>
      <c r="E455" t="s">
        <v>23</v>
      </c>
      <c r="F455" t="s">
        <v>16</v>
      </c>
      <c r="G455" s="1">
        <v>43549</v>
      </c>
      <c r="H455" s="1" t="s">
        <v>12</v>
      </c>
      <c r="I455" s="1" t="s">
        <v>13</v>
      </c>
      <c r="J455" s="1" t="s">
        <v>19</v>
      </c>
      <c r="K455" s="4">
        <f t="shared" ca="1" si="35"/>
        <v>7.1</v>
      </c>
      <c r="L455" t="str">
        <f t="shared" si="36"/>
        <v>High</v>
      </c>
      <c r="M455" t="str">
        <f t="shared" si="37"/>
        <v>Low</v>
      </c>
      <c r="N455" t="str">
        <f t="shared" si="38"/>
        <v>PIP</v>
      </c>
      <c r="O455" t="str">
        <f t="shared" ca="1" si="39"/>
        <v>Not Eligible</v>
      </c>
    </row>
    <row r="456" spans="1:15" x14ac:dyDescent="0.25">
      <c r="A456" t="s">
        <v>41</v>
      </c>
      <c r="B456">
        <v>50</v>
      </c>
      <c r="C456">
        <v>50000</v>
      </c>
      <c r="D456" t="s">
        <v>9</v>
      </c>
      <c r="E456" t="s">
        <v>23</v>
      </c>
      <c r="F456" t="s">
        <v>11</v>
      </c>
      <c r="G456" s="1">
        <v>43549</v>
      </c>
      <c r="H456" s="1" t="s">
        <v>21</v>
      </c>
      <c r="I456" s="1" t="s">
        <v>44</v>
      </c>
      <c r="J456" s="1" t="s">
        <v>44</v>
      </c>
      <c r="K456" s="4">
        <f t="shared" ca="1" si="35"/>
        <v>7.1</v>
      </c>
      <c r="L456" t="str">
        <f t="shared" si="36"/>
        <v>Low</v>
      </c>
      <c r="M456" t="str">
        <f t="shared" si="37"/>
        <v>Medium</v>
      </c>
      <c r="N456" t="str">
        <f t="shared" si="38"/>
        <v>No PIP</v>
      </c>
      <c r="O456" t="str">
        <f t="shared" ca="1" si="39"/>
        <v>Not Eligible</v>
      </c>
    </row>
    <row r="457" spans="1:15" x14ac:dyDescent="0.25">
      <c r="A457" t="s">
        <v>36</v>
      </c>
      <c r="B457">
        <v>50</v>
      </c>
      <c r="C457">
        <v>65000</v>
      </c>
      <c r="D457" t="s">
        <v>26</v>
      </c>
      <c r="E457" t="s">
        <v>23</v>
      </c>
      <c r="F457" t="s">
        <v>11</v>
      </c>
      <c r="G457" s="1">
        <v>43549</v>
      </c>
      <c r="H457" s="1" t="s">
        <v>24</v>
      </c>
      <c r="I457" s="1" t="s">
        <v>25</v>
      </c>
      <c r="J457" s="1" t="s">
        <v>22</v>
      </c>
      <c r="K457" s="4">
        <f t="shared" ca="1" si="35"/>
        <v>7.1</v>
      </c>
      <c r="L457" t="str">
        <f t="shared" si="36"/>
        <v>High</v>
      </c>
      <c r="M457" t="str">
        <f t="shared" si="37"/>
        <v>High</v>
      </c>
      <c r="N457" t="str">
        <f t="shared" si="38"/>
        <v>No PIP</v>
      </c>
      <c r="O457" t="str">
        <f t="shared" ca="1" si="39"/>
        <v>Eligible</v>
      </c>
    </row>
    <row r="458" spans="1:15" x14ac:dyDescent="0.25">
      <c r="A458" t="s">
        <v>38</v>
      </c>
      <c r="B458">
        <v>35</v>
      </c>
      <c r="C458">
        <v>70000</v>
      </c>
      <c r="D458" t="s">
        <v>9</v>
      </c>
      <c r="E458" t="s">
        <v>15</v>
      </c>
      <c r="F458" t="s">
        <v>28</v>
      </c>
      <c r="G458" s="1">
        <v>43549</v>
      </c>
      <c r="H458" s="1" t="s">
        <v>17</v>
      </c>
      <c r="I458" s="1" t="s">
        <v>44</v>
      </c>
      <c r="J458" s="1" t="s">
        <v>19</v>
      </c>
      <c r="K458" s="4">
        <f t="shared" ca="1" si="35"/>
        <v>7.1</v>
      </c>
      <c r="L458" t="str">
        <f t="shared" si="36"/>
        <v>High</v>
      </c>
      <c r="M458" t="str">
        <f t="shared" si="37"/>
        <v>Low</v>
      </c>
      <c r="N458" t="str">
        <f t="shared" si="38"/>
        <v>PIP</v>
      </c>
      <c r="O458" t="str">
        <f t="shared" ca="1" si="39"/>
        <v>Not Eligible</v>
      </c>
    </row>
    <row r="459" spans="1:15" x14ac:dyDescent="0.25">
      <c r="A459" t="s">
        <v>33</v>
      </c>
      <c r="B459">
        <v>35</v>
      </c>
      <c r="C459">
        <v>65000</v>
      </c>
      <c r="D459" t="s">
        <v>26</v>
      </c>
      <c r="E459" t="s">
        <v>20</v>
      </c>
      <c r="F459" t="s">
        <v>28</v>
      </c>
      <c r="G459" s="1">
        <v>43549</v>
      </c>
      <c r="H459" s="1" t="s">
        <v>12</v>
      </c>
      <c r="I459" s="1" t="s">
        <v>44</v>
      </c>
      <c r="J459" s="1" t="s">
        <v>44</v>
      </c>
      <c r="K459" s="4">
        <f t="shared" ca="1" si="35"/>
        <v>7.1</v>
      </c>
      <c r="L459" t="str">
        <f t="shared" si="36"/>
        <v>High</v>
      </c>
      <c r="M459" t="str">
        <f t="shared" si="37"/>
        <v>Low</v>
      </c>
      <c r="N459" t="str">
        <f t="shared" si="38"/>
        <v>PIP</v>
      </c>
      <c r="O459" t="str">
        <f t="shared" ca="1" si="39"/>
        <v>Not Eligible</v>
      </c>
    </row>
    <row r="460" spans="1:15" x14ac:dyDescent="0.25">
      <c r="A460" t="s">
        <v>38</v>
      </c>
      <c r="B460">
        <v>25</v>
      </c>
      <c r="C460">
        <v>60000</v>
      </c>
      <c r="D460" t="s">
        <v>9</v>
      </c>
      <c r="E460" t="s">
        <v>20</v>
      </c>
      <c r="F460" t="s">
        <v>28</v>
      </c>
      <c r="G460" s="1">
        <v>43549</v>
      </c>
      <c r="H460" s="1" t="s">
        <v>29</v>
      </c>
      <c r="I460" s="1" t="s">
        <v>44</v>
      </c>
      <c r="J460" s="1" t="s">
        <v>22</v>
      </c>
      <c r="K460" s="4">
        <f t="shared" ca="1" si="35"/>
        <v>7.1</v>
      </c>
      <c r="L460" t="str">
        <f t="shared" si="36"/>
        <v>Medium</v>
      </c>
      <c r="M460" t="str">
        <f t="shared" si="37"/>
        <v>Medium</v>
      </c>
      <c r="N460" t="str">
        <f t="shared" si="38"/>
        <v>No PIP</v>
      </c>
      <c r="O460" t="str">
        <f t="shared" ca="1" si="39"/>
        <v>Not Eligible</v>
      </c>
    </row>
    <row r="461" spans="1:15" x14ac:dyDescent="0.25">
      <c r="A461" t="s">
        <v>40</v>
      </c>
      <c r="B461">
        <v>35</v>
      </c>
      <c r="C461">
        <v>55000</v>
      </c>
      <c r="D461" t="s">
        <v>14</v>
      </c>
      <c r="E461" t="s">
        <v>23</v>
      </c>
      <c r="F461" t="s">
        <v>28</v>
      </c>
      <c r="G461" s="1">
        <v>43549</v>
      </c>
      <c r="H461" s="1" t="s">
        <v>17</v>
      </c>
      <c r="I461" s="1" t="s">
        <v>18</v>
      </c>
      <c r="J461" s="1" t="s">
        <v>44</v>
      </c>
      <c r="K461" s="4">
        <f t="shared" ca="1" si="35"/>
        <v>7.1</v>
      </c>
      <c r="L461" t="str">
        <f t="shared" si="36"/>
        <v>Low</v>
      </c>
      <c r="M461" t="str">
        <f t="shared" si="37"/>
        <v>Low</v>
      </c>
      <c r="N461" t="str">
        <f t="shared" si="38"/>
        <v>PIP</v>
      </c>
      <c r="O461" t="str">
        <f t="shared" ca="1" si="39"/>
        <v>Not Eligible</v>
      </c>
    </row>
    <row r="462" spans="1:15" x14ac:dyDescent="0.25">
      <c r="A462" t="s">
        <v>42</v>
      </c>
      <c r="B462">
        <v>25</v>
      </c>
      <c r="C462">
        <v>50000</v>
      </c>
      <c r="D462" t="s">
        <v>26</v>
      </c>
      <c r="E462" t="s">
        <v>23</v>
      </c>
      <c r="F462" t="s">
        <v>31</v>
      </c>
      <c r="G462" s="1">
        <v>43549</v>
      </c>
      <c r="H462" s="1" t="s">
        <v>12</v>
      </c>
      <c r="I462" s="1" t="s">
        <v>44</v>
      </c>
      <c r="J462" s="1" t="s">
        <v>32</v>
      </c>
      <c r="K462" s="4">
        <f t="shared" ca="1" si="35"/>
        <v>7.1</v>
      </c>
      <c r="L462" t="str">
        <f t="shared" si="36"/>
        <v>Low</v>
      </c>
      <c r="M462" t="str">
        <f t="shared" si="37"/>
        <v>Low</v>
      </c>
      <c r="N462" t="str">
        <f t="shared" si="38"/>
        <v>PIP</v>
      </c>
      <c r="O462" t="str">
        <f t="shared" ca="1" si="39"/>
        <v>Not Eligible</v>
      </c>
    </row>
    <row r="463" spans="1:15" x14ac:dyDescent="0.25">
      <c r="A463" t="s">
        <v>39</v>
      </c>
      <c r="B463">
        <v>30</v>
      </c>
      <c r="C463">
        <v>70000</v>
      </c>
      <c r="D463" t="s">
        <v>9</v>
      </c>
      <c r="E463" t="s">
        <v>20</v>
      </c>
      <c r="F463" t="s">
        <v>28</v>
      </c>
      <c r="G463" s="1">
        <v>43549</v>
      </c>
      <c r="H463" s="1" t="s">
        <v>24</v>
      </c>
      <c r="I463" s="1" t="s">
        <v>44</v>
      </c>
      <c r="J463" s="1" t="s">
        <v>22</v>
      </c>
      <c r="K463" s="4">
        <f t="shared" ca="1" si="35"/>
        <v>7.1</v>
      </c>
      <c r="L463" t="str">
        <f t="shared" si="36"/>
        <v>High</v>
      </c>
      <c r="M463" t="str">
        <f t="shared" si="37"/>
        <v>High</v>
      </c>
      <c r="N463" t="str">
        <f t="shared" si="38"/>
        <v>No PIP</v>
      </c>
      <c r="O463" t="str">
        <f t="shared" ca="1" si="39"/>
        <v>Eligible</v>
      </c>
    </row>
    <row r="464" spans="1:15" x14ac:dyDescent="0.25">
      <c r="A464" t="s">
        <v>41</v>
      </c>
      <c r="B464">
        <v>35</v>
      </c>
      <c r="C464">
        <v>60216</v>
      </c>
      <c r="D464" t="s">
        <v>26</v>
      </c>
      <c r="E464" t="s">
        <v>15</v>
      </c>
      <c r="F464" t="s">
        <v>30</v>
      </c>
      <c r="G464" s="1">
        <v>43549</v>
      </c>
      <c r="H464" s="1" t="s">
        <v>17</v>
      </c>
      <c r="I464" s="1" t="s">
        <v>44</v>
      </c>
      <c r="J464" s="1" t="s">
        <v>22</v>
      </c>
      <c r="K464" s="4">
        <f t="shared" ca="1" si="35"/>
        <v>7.1</v>
      </c>
      <c r="L464" t="str">
        <f t="shared" si="36"/>
        <v>Medium</v>
      </c>
      <c r="M464" t="str">
        <f t="shared" si="37"/>
        <v>Low</v>
      </c>
      <c r="N464" t="str">
        <f t="shared" si="38"/>
        <v>PIP</v>
      </c>
      <c r="O464" t="str">
        <f t="shared" ca="1" si="39"/>
        <v>Not Eligible</v>
      </c>
    </row>
    <row r="465" spans="1:15" x14ac:dyDescent="0.25">
      <c r="A465" t="s">
        <v>33</v>
      </c>
      <c r="B465">
        <v>25</v>
      </c>
      <c r="C465">
        <v>60216</v>
      </c>
      <c r="D465" t="s">
        <v>26</v>
      </c>
      <c r="E465" t="s">
        <v>15</v>
      </c>
      <c r="F465" t="s">
        <v>30</v>
      </c>
      <c r="G465" s="1">
        <v>43549</v>
      </c>
      <c r="H465" s="1" t="s">
        <v>17</v>
      </c>
      <c r="I465" s="1" t="s">
        <v>25</v>
      </c>
      <c r="J465" s="1" t="s">
        <v>32</v>
      </c>
      <c r="K465" s="4">
        <f t="shared" ca="1" si="35"/>
        <v>7.1</v>
      </c>
      <c r="L465" t="str">
        <f t="shared" si="36"/>
        <v>Medium</v>
      </c>
      <c r="M465" t="str">
        <f t="shared" si="37"/>
        <v>Low</v>
      </c>
      <c r="N465" t="str">
        <f t="shared" si="38"/>
        <v>PIP</v>
      </c>
      <c r="O465" t="str">
        <f t="shared" ca="1" si="39"/>
        <v>Not Eligible</v>
      </c>
    </row>
    <row r="466" spans="1:15" x14ac:dyDescent="0.25">
      <c r="A466" t="s">
        <v>41</v>
      </c>
      <c r="B466">
        <v>35</v>
      </c>
      <c r="C466">
        <v>50000</v>
      </c>
      <c r="D466" t="s">
        <v>14</v>
      </c>
      <c r="E466" t="s">
        <v>23</v>
      </c>
      <c r="F466" t="s">
        <v>28</v>
      </c>
      <c r="G466" s="1">
        <v>43549</v>
      </c>
      <c r="H466" s="1" t="s">
        <v>17</v>
      </c>
      <c r="I466" s="1" t="s">
        <v>18</v>
      </c>
      <c r="J466" s="1" t="s">
        <v>32</v>
      </c>
      <c r="K466" s="4">
        <f t="shared" ca="1" si="35"/>
        <v>7.1</v>
      </c>
      <c r="L466" t="str">
        <f t="shared" si="36"/>
        <v>Low</v>
      </c>
      <c r="M466" t="str">
        <f t="shared" si="37"/>
        <v>Low</v>
      </c>
      <c r="N466" t="str">
        <f t="shared" si="38"/>
        <v>PIP</v>
      </c>
      <c r="O466" t="str">
        <f t="shared" ca="1" si="39"/>
        <v>Not Eligible</v>
      </c>
    </row>
    <row r="467" spans="1:15" x14ac:dyDescent="0.25">
      <c r="A467" t="s">
        <v>38</v>
      </c>
      <c r="B467">
        <v>40</v>
      </c>
      <c r="C467">
        <v>55000</v>
      </c>
      <c r="D467" t="s">
        <v>14</v>
      </c>
      <c r="E467" t="s">
        <v>27</v>
      </c>
      <c r="F467" t="s">
        <v>28</v>
      </c>
      <c r="G467" s="1">
        <v>43549</v>
      </c>
      <c r="H467" s="1" t="s">
        <v>17</v>
      </c>
      <c r="I467" s="1" t="s">
        <v>44</v>
      </c>
      <c r="J467" s="1" t="s">
        <v>19</v>
      </c>
      <c r="K467" s="4">
        <f t="shared" ca="1" si="35"/>
        <v>7.1</v>
      </c>
      <c r="L467" t="str">
        <f t="shared" si="36"/>
        <v>Low</v>
      </c>
      <c r="M467" t="str">
        <f t="shared" si="37"/>
        <v>Low</v>
      </c>
      <c r="N467" t="str">
        <f t="shared" si="38"/>
        <v>PIP</v>
      </c>
      <c r="O467" t="str">
        <f t="shared" ca="1" si="39"/>
        <v>Not Eligible</v>
      </c>
    </row>
    <row r="468" spans="1:15" x14ac:dyDescent="0.25">
      <c r="A468" t="s">
        <v>35</v>
      </c>
      <c r="B468">
        <v>30</v>
      </c>
      <c r="C468">
        <v>55000</v>
      </c>
      <c r="D468" t="s">
        <v>9</v>
      </c>
      <c r="E468" t="s">
        <v>23</v>
      </c>
      <c r="F468" t="s">
        <v>11</v>
      </c>
      <c r="G468" s="1">
        <v>43549</v>
      </c>
      <c r="H468" s="1" t="s">
        <v>12</v>
      </c>
      <c r="I468" s="1" t="s">
        <v>13</v>
      </c>
      <c r="J468" s="1" t="s">
        <v>44</v>
      </c>
      <c r="K468" s="4">
        <f t="shared" ca="1" si="35"/>
        <v>7.1</v>
      </c>
      <c r="L468" t="str">
        <f t="shared" si="36"/>
        <v>Low</v>
      </c>
      <c r="M468" t="str">
        <f t="shared" si="37"/>
        <v>Low</v>
      </c>
      <c r="N468" t="str">
        <f t="shared" si="38"/>
        <v>PIP</v>
      </c>
      <c r="O468" t="str">
        <f t="shared" ca="1" si="39"/>
        <v>Not Eligible</v>
      </c>
    </row>
    <row r="469" spans="1:15" x14ac:dyDescent="0.25">
      <c r="A469" t="s">
        <v>34</v>
      </c>
      <c r="B469">
        <v>35</v>
      </c>
      <c r="C469">
        <v>55000</v>
      </c>
      <c r="D469" t="s">
        <v>9</v>
      </c>
      <c r="E469" t="s">
        <v>27</v>
      </c>
      <c r="F469" t="s">
        <v>30</v>
      </c>
      <c r="G469" s="1">
        <v>43549</v>
      </c>
      <c r="H469" s="1" t="s">
        <v>17</v>
      </c>
      <c r="I469" s="1" t="s">
        <v>18</v>
      </c>
      <c r="J469" s="1" t="s">
        <v>32</v>
      </c>
      <c r="K469" s="4">
        <f t="shared" ca="1" si="35"/>
        <v>7.1</v>
      </c>
      <c r="L469" t="str">
        <f t="shared" si="36"/>
        <v>Low</v>
      </c>
      <c r="M469" t="str">
        <f t="shared" si="37"/>
        <v>Low</v>
      </c>
      <c r="N469" t="str">
        <f t="shared" si="38"/>
        <v>PIP</v>
      </c>
      <c r="O469" t="str">
        <f t="shared" ca="1" si="39"/>
        <v>Not Eligible</v>
      </c>
    </row>
    <row r="470" spans="1:15" x14ac:dyDescent="0.25">
      <c r="A470" t="s">
        <v>41</v>
      </c>
      <c r="B470">
        <v>30</v>
      </c>
      <c r="C470">
        <v>55000</v>
      </c>
      <c r="D470" t="s">
        <v>14</v>
      </c>
      <c r="E470" t="s">
        <v>20</v>
      </c>
      <c r="F470" t="s">
        <v>31</v>
      </c>
      <c r="G470" s="1">
        <v>43549</v>
      </c>
      <c r="H470" s="1" t="s">
        <v>29</v>
      </c>
      <c r="I470" s="1" t="s">
        <v>25</v>
      </c>
      <c r="J470" s="1" t="s">
        <v>44</v>
      </c>
      <c r="K470" s="4">
        <f t="shared" ca="1" si="35"/>
        <v>7.1</v>
      </c>
      <c r="L470" t="str">
        <f t="shared" si="36"/>
        <v>Low</v>
      </c>
      <c r="M470" t="str">
        <f t="shared" si="37"/>
        <v>Medium</v>
      </c>
      <c r="N470" t="str">
        <f t="shared" si="38"/>
        <v>No PIP</v>
      </c>
      <c r="O470" t="str">
        <f t="shared" ca="1" si="39"/>
        <v>Not Eligible</v>
      </c>
    </row>
    <row r="471" spans="1:15" x14ac:dyDescent="0.25">
      <c r="A471" t="s">
        <v>35</v>
      </c>
      <c r="B471">
        <v>50</v>
      </c>
      <c r="C471">
        <v>65000</v>
      </c>
      <c r="D471" t="s">
        <v>9</v>
      </c>
      <c r="E471" t="s">
        <v>15</v>
      </c>
      <c r="F471" t="s">
        <v>31</v>
      </c>
      <c r="G471" s="1">
        <v>43549</v>
      </c>
      <c r="H471" s="1" t="s">
        <v>12</v>
      </c>
      <c r="I471" s="1" t="s">
        <v>44</v>
      </c>
      <c r="J471" s="1" t="s">
        <v>19</v>
      </c>
      <c r="K471" s="4">
        <f t="shared" ca="1" si="35"/>
        <v>7.1</v>
      </c>
      <c r="L471" t="str">
        <f t="shared" si="36"/>
        <v>High</v>
      </c>
      <c r="M471" t="str">
        <f t="shared" si="37"/>
        <v>Low</v>
      </c>
      <c r="N471" t="str">
        <f t="shared" si="38"/>
        <v>PIP</v>
      </c>
      <c r="O471" t="str">
        <f t="shared" ca="1" si="39"/>
        <v>Not Eligible</v>
      </c>
    </row>
    <row r="472" spans="1:15" x14ac:dyDescent="0.25">
      <c r="A472" t="s">
        <v>37</v>
      </c>
      <c r="B472">
        <v>40</v>
      </c>
      <c r="C472">
        <v>60216</v>
      </c>
      <c r="D472" t="s">
        <v>9</v>
      </c>
      <c r="E472" t="s">
        <v>23</v>
      </c>
      <c r="F472" t="s">
        <v>16</v>
      </c>
      <c r="G472" s="1">
        <v>43549</v>
      </c>
      <c r="H472" s="1" t="s">
        <v>24</v>
      </c>
      <c r="I472" s="1" t="s">
        <v>13</v>
      </c>
      <c r="J472" s="1" t="s">
        <v>44</v>
      </c>
      <c r="K472" s="4">
        <f t="shared" ca="1" si="35"/>
        <v>7.1</v>
      </c>
      <c r="L472" t="str">
        <f t="shared" si="36"/>
        <v>Medium</v>
      </c>
      <c r="M472" t="str">
        <f t="shared" si="37"/>
        <v>High</v>
      </c>
      <c r="N472" t="str">
        <f t="shared" si="38"/>
        <v>No PIP</v>
      </c>
      <c r="O472" t="str">
        <f t="shared" ca="1" si="39"/>
        <v>Eligible</v>
      </c>
    </row>
    <row r="473" spans="1:15" x14ac:dyDescent="0.25">
      <c r="A473" t="s">
        <v>34</v>
      </c>
      <c r="B473">
        <v>30</v>
      </c>
      <c r="C473">
        <v>50000</v>
      </c>
      <c r="D473" t="s">
        <v>14</v>
      </c>
      <c r="E473" t="s">
        <v>27</v>
      </c>
      <c r="F473" t="s">
        <v>30</v>
      </c>
      <c r="G473" s="1">
        <v>43549</v>
      </c>
      <c r="H473" s="1" t="s">
        <v>24</v>
      </c>
      <c r="I473" s="1" t="s">
        <v>44</v>
      </c>
      <c r="J473" s="1" t="s">
        <v>19</v>
      </c>
      <c r="K473" s="4">
        <f t="shared" ca="1" si="35"/>
        <v>7.1</v>
      </c>
      <c r="L473" t="str">
        <f t="shared" si="36"/>
        <v>Low</v>
      </c>
      <c r="M473" t="str">
        <f t="shared" si="37"/>
        <v>High</v>
      </c>
      <c r="N473" t="str">
        <f t="shared" si="38"/>
        <v>No PIP</v>
      </c>
      <c r="O473" t="str">
        <f t="shared" ca="1" si="39"/>
        <v>Eligible</v>
      </c>
    </row>
    <row r="474" spans="1:15" x14ac:dyDescent="0.25">
      <c r="A474" t="s">
        <v>33</v>
      </c>
      <c r="B474">
        <v>40</v>
      </c>
      <c r="C474">
        <v>60000</v>
      </c>
      <c r="D474" t="s">
        <v>14</v>
      </c>
      <c r="E474" t="s">
        <v>27</v>
      </c>
      <c r="F474" t="s">
        <v>16</v>
      </c>
      <c r="G474" s="1">
        <v>43549</v>
      </c>
      <c r="H474" s="1" t="s">
        <v>24</v>
      </c>
      <c r="I474" s="1" t="s">
        <v>44</v>
      </c>
      <c r="J474" s="1" t="s">
        <v>32</v>
      </c>
      <c r="K474" s="4">
        <f t="shared" ca="1" si="35"/>
        <v>7.1</v>
      </c>
      <c r="L474" t="str">
        <f t="shared" si="36"/>
        <v>Medium</v>
      </c>
      <c r="M474" t="str">
        <f t="shared" si="37"/>
        <v>High</v>
      </c>
      <c r="N474" t="str">
        <f t="shared" si="38"/>
        <v>No PIP</v>
      </c>
      <c r="O474" t="str">
        <f t="shared" ca="1" si="39"/>
        <v>Eligible</v>
      </c>
    </row>
    <row r="475" spans="1:15" x14ac:dyDescent="0.25">
      <c r="A475" t="s">
        <v>34</v>
      </c>
      <c r="B475">
        <v>50</v>
      </c>
      <c r="C475">
        <v>60216</v>
      </c>
      <c r="D475" t="s">
        <v>26</v>
      </c>
      <c r="E475" t="s">
        <v>10</v>
      </c>
      <c r="F475" t="s">
        <v>28</v>
      </c>
      <c r="G475" s="1">
        <v>43549</v>
      </c>
      <c r="H475" s="1" t="s">
        <v>21</v>
      </c>
      <c r="I475" s="1" t="s">
        <v>44</v>
      </c>
      <c r="J475" s="1" t="s">
        <v>44</v>
      </c>
      <c r="K475" s="4">
        <f t="shared" ca="1" si="35"/>
        <v>7.1</v>
      </c>
      <c r="L475" t="str">
        <f t="shared" si="36"/>
        <v>Medium</v>
      </c>
      <c r="M475" t="str">
        <f t="shared" si="37"/>
        <v>Medium</v>
      </c>
      <c r="N475" t="str">
        <f t="shared" si="38"/>
        <v>No PIP</v>
      </c>
      <c r="O475" t="str">
        <f t="shared" ca="1" si="39"/>
        <v>Not Eligible</v>
      </c>
    </row>
    <row r="476" spans="1:15" x14ac:dyDescent="0.25">
      <c r="A476" t="s">
        <v>39</v>
      </c>
      <c r="B476">
        <v>30</v>
      </c>
      <c r="C476">
        <v>60000</v>
      </c>
      <c r="D476" t="s">
        <v>9</v>
      </c>
      <c r="E476" t="s">
        <v>20</v>
      </c>
      <c r="F476" t="s">
        <v>16</v>
      </c>
      <c r="G476" s="1">
        <v>43549</v>
      </c>
      <c r="H476" s="1" t="s">
        <v>29</v>
      </c>
      <c r="I476" s="1" t="s">
        <v>18</v>
      </c>
      <c r="J476" s="1" t="s">
        <v>19</v>
      </c>
      <c r="K476" s="4">
        <f t="shared" ca="1" si="35"/>
        <v>7.1</v>
      </c>
      <c r="L476" t="str">
        <f t="shared" si="36"/>
        <v>Medium</v>
      </c>
      <c r="M476" t="str">
        <f t="shared" si="37"/>
        <v>Medium</v>
      </c>
      <c r="N476" t="str">
        <f t="shared" si="38"/>
        <v>No PIP</v>
      </c>
      <c r="O476" t="str">
        <f t="shared" ca="1" si="39"/>
        <v>Not Eligible</v>
      </c>
    </row>
    <row r="477" spans="1:15" x14ac:dyDescent="0.25">
      <c r="A477" t="s">
        <v>41</v>
      </c>
      <c r="B477">
        <v>30</v>
      </c>
      <c r="C477">
        <v>65000</v>
      </c>
      <c r="D477" t="s">
        <v>14</v>
      </c>
      <c r="E477" t="s">
        <v>10</v>
      </c>
      <c r="F477" t="s">
        <v>16</v>
      </c>
      <c r="G477" s="1">
        <v>43549</v>
      </c>
      <c r="H477" s="1" t="s">
        <v>21</v>
      </c>
      <c r="I477" s="1" t="s">
        <v>44</v>
      </c>
      <c r="J477" s="1" t="s">
        <v>22</v>
      </c>
      <c r="K477" s="4">
        <f t="shared" ca="1" si="35"/>
        <v>7.1</v>
      </c>
      <c r="L477" t="str">
        <f t="shared" si="36"/>
        <v>High</v>
      </c>
      <c r="M477" t="str">
        <f t="shared" si="37"/>
        <v>Medium</v>
      </c>
      <c r="N477" t="str">
        <f t="shared" si="38"/>
        <v>No PIP</v>
      </c>
      <c r="O477" t="str">
        <f t="shared" ca="1" si="39"/>
        <v>Not Eligible</v>
      </c>
    </row>
    <row r="478" spans="1:15" x14ac:dyDescent="0.25">
      <c r="A478" t="s">
        <v>34</v>
      </c>
      <c r="B478">
        <v>50</v>
      </c>
      <c r="C478">
        <v>55000</v>
      </c>
      <c r="D478" t="s">
        <v>26</v>
      </c>
      <c r="E478" t="s">
        <v>23</v>
      </c>
      <c r="F478" t="s">
        <v>28</v>
      </c>
      <c r="G478" s="1">
        <v>43549</v>
      </c>
      <c r="H478" s="1" t="s">
        <v>21</v>
      </c>
      <c r="I478" s="1" t="s">
        <v>44</v>
      </c>
      <c r="J478" s="1" t="s">
        <v>44</v>
      </c>
      <c r="K478" s="4">
        <f t="shared" ca="1" si="35"/>
        <v>7.1</v>
      </c>
      <c r="L478" t="str">
        <f t="shared" si="36"/>
        <v>Low</v>
      </c>
      <c r="M478" t="str">
        <f t="shared" si="37"/>
        <v>Medium</v>
      </c>
      <c r="N478" t="str">
        <f t="shared" si="38"/>
        <v>No PIP</v>
      </c>
      <c r="O478" t="str">
        <f t="shared" ca="1" si="39"/>
        <v>Not Eligible</v>
      </c>
    </row>
    <row r="479" spans="1:15" x14ac:dyDescent="0.25">
      <c r="A479" t="s">
        <v>34</v>
      </c>
      <c r="B479">
        <v>35</v>
      </c>
      <c r="C479">
        <v>60216</v>
      </c>
      <c r="D479" t="s">
        <v>9</v>
      </c>
      <c r="E479" t="s">
        <v>23</v>
      </c>
      <c r="F479" t="s">
        <v>30</v>
      </c>
      <c r="G479" s="1">
        <v>43549</v>
      </c>
      <c r="H479" s="1" t="s">
        <v>21</v>
      </c>
      <c r="I479" s="1" t="s">
        <v>18</v>
      </c>
      <c r="J479" s="1" t="s">
        <v>44</v>
      </c>
      <c r="K479" s="4">
        <f t="shared" ca="1" si="35"/>
        <v>7.1</v>
      </c>
      <c r="L479" t="str">
        <f t="shared" si="36"/>
        <v>Medium</v>
      </c>
      <c r="M479" t="str">
        <f t="shared" si="37"/>
        <v>Medium</v>
      </c>
      <c r="N479" t="str">
        <f t="shared" si="38"/>
        <v>No PIP</v>
      </c>
      <c r="O479" t="str">
        <f t="shared" ca="1" si="39"/>
        <v>Not Eligible</v>
      </c>
    </row>
    <row r="480" spans="1:15" x14ac:dyDescent="0.25">
      <c r="A480" t="s">
        <v>39</v>
      </c>
      <c r="B480">
        <v>40</v>
      </c>
      <c r="C480">
        <v>55000</v>
      </c>
      <c r="D480" t="s">
        <v>9</v>
      </c>
      <c r="E480" t="s">
        <v>10</v>
      </c>
      <c r="F480" t="s">
        <v>28</v>
      </c>
      <c r="G480" s="1">
        <v>43549</v>
      </c>
      <c r="H480" s="1" t="s">
        <v>29</v>
      </c>
      <c r="I480" s="1" t="s">
        <v>44</v>
      </c>
      <c r="J480" s="1" t="s">
        <v>44</v>
      </c>
      <c r="K480" s="4">
        <f t="shared" ca="1" si="35"/>
        <v>7.1</v>
      </c>
      <c r="L480" t="str">
        <f t="shared" si="36"/>
        <v>Low</v>
      </c>
      <c r="M480" t="str">
        <f t="shared" si="37"/>
        <v>Medium</v>
      </c>
      <c r="N480" t="str">
        <f t="shared" si="38"/>
        <v>No PIP</v>
      </c>
      <c r="O480" t="str">
        <f t="shared" ca="1" si="39"/>
        <v>Not Eligible</v>
      </c>
    </row>
    <row r="481" spans="1:15" x14ac:dyDescent="0.25">
      <c r="A481" t="s">
        <v>34</v>
      </c>
      <c r="B481">
        <v>35</v>
      </c>
      <c r="C481">
        <v>55000</v>
      </c>
      <c r="D481" t="s">
        <v>9</v>
      </c>
      <c r="E481" t="s">
        <v>15</v>
      </c>
      <c r="F481" t="s">
        <v>30</v>
      </c>
      <c r="G481" s="1">
        <v>43549</v>
      </c>
      <c r="H481" s="1" t="s">
        <v>12</v>
      </c>
      <c r="I481" s="1" t="s">
        <v>44</v>
      </c>
      <c r="J481" s="1" t="s">
        <v>19</v>
      </c>
      <c r="K481" s="4">
        <f t="shared" ca="1" si="35"/>
        <v>7.1</v>
      </c>
      <c r="L481" t="str">
        <f t="shared" si="36"/>
        <v>Low</v>
      </c>
      <c r="M481" t="str">
        <f t="shared" si="37"/>
        <v>Low</v>
      </c>
      <c r="N481" t="str">
        <f t="shared" si="38"/>
        <v>PIP</v>
      </c>
      <c r="O481" t="str">
        <f t="shared" ca="1" si="39"/>
        <v>Not Eligible</v>
      </c>
    </row>
    <row r="482" spans="1:15" x14ac:dyDescent="0.25">
      <c r="A482" t="s">
        <v>40</v>
      </c>
      <c r="B482">
        <v>35</v>
      </c>
      <c r="C482">
        <v>60216</v>
      </c>
      <c r="D482" t="s">
        <v>9</v>
      </c>
      <c r="E482" t="s">
        <v>23</v>
      </c>
      <c r="F482" t="s">
        <v>28</v>
      </c>
      <c r="G482" s="1">
        <v>43549</v>
      </c>
      <c r="H482" s="1" t="s">
        <v>12</v>
      </c>
      <c r="I482" s="1" t="s">
        <v>18</v>
      </c>
      <c r="J482" s="1" t="s">
        <v>22</v>
      </c>
      <c r="K482" s="4">
        <f t="shared" ca="1" si="35"/>
        <v>7.1</v>
      </c>
      <c r="L482" t="str">
        <f t="shared" si="36"/>
        <v>Medium</v>
      </c>
      <c r="M482" t="str">
        <f t="shared" si="37"/>
        <v>Low</v>
      </c>
      <c r="N482" t="str">
        <f t="shared" si="38"/>
        <v>PIP</v>
      </c>
      <c r="O482" t="str">
        <f t="shared" ca="1" si="39"/>
        <v>Not Eligible</v>
      </c>
    </row>
    <row r="483" spans="1:15" x14ac:dyDescent="0.25">
      <c r="A483" t="s">
        <v>40</v>
      </c>
      <c r="B483">
        <v>25</v>
      </c>
      <c r="C483">
        <v>60216</v>
      </c>
      <c r="D483" t="s">
        <v>9</v>
      </c>
      <c r="E483" t="s">
        <v>27</v>
      </c>
      <c r="F483" t="s">
        <v>16</v>
      </c>
      <c r="G483" s="1">
        <v>43549</v>
      </c>
      <c r="H483" s="1" t="s">
        <v>21</v>
      </c>
      <c r="I483" s="1" t="s">
        <v>18</v>
      </c>
      <c r="J483" s="1" t="s">
        <v>22</v>
      </c>
      <c r="K483" s="4">
        <f t="shared" ca="1" si="35"/>
        <v>7.1</v>
      </c>
      <c r="L483" t="str">
        <f t="shared" si="36"/>
        <v>Medium</v>
      </c>
      <c r="M483" t="str">
        <f t="shared" si="37"/>
        <v>Medium</v>
      </c>
      <c r="N483" t="str">
        <f t="shared" si="38"/>
        <v>No PIP</v>
      </c>
      <c r="O483" t="str">
        <f t="shared" ca="1" si="39"/>
        <v>Not Eligible</v>
      </c>
    </row>
    <row r="484" spans="1:15" x14ac:dyDescent="0.25">
      <c r="A484" t="s">
        <v>38</v>
      </c>
      <c r="B484">
        <v>35</v>
      </c>
      <c r="C484">
        <v>55000</v>
      </c>
      <c r="D484" t="s">
        <v>14</v>
      </c>
      <c r="E484" t="s">
        <v>20</v>
      </c>
      <c r="F484" t="s">
        <v>31</v>
      </c>
      <c r="G484" s="1">
        <v>43549</v>
      </c>
      <c r="H484" s="1" t="s">
        <v>17</v>
      </c>
      <c r="I484" s="1" t="s">
        <v>13</v>
      </c>
      <c r="J484" s="1" t="s">
        <v>19</v>
      </c>
      <c r="K484" s="4">
        <f t="shared" ca="1" si="35"/>
        <v>7.1</v>
      </c>
      <c r="L484" t="str">
        <f t="shared" si="36"/>
        <v>Low</v>
      </c>
      <c r="M484" t="str">
        <f t="shared" si="37"/>
        <v>Low</v>
      </c>
      <c r="N484" t="str">
        <f t="shared" si="38"/>
        <v>PIP</v>
      </c>
      <c r="O484" t="str">
        <f t="shared" ca="1" si="39"/>
        <v>Not Eligible</v>
      </c>
    </row>
    <row r="485" spans="1:15" x14ac:dyDescent="0.25">
      <c r="A485" t="s">
        <v>41</v>
      </c>
      <c r="B485">
        <v>50</v>
      </c>
      <c r="C485">
        <v>70000</v>
      </c>
      <c r="D485" t="s">
        <v>9</v>
      </c>
      <c r="E485" t="s">
        <v>10</v>
      </c>
      <c r="F485" t="s">
        <v>16</v>
      </c>
      <c r="G485" s="1">
        <v>43549</v>
      </c>
      <c r="H485" s="1" t="s">
        <v>24</v>
      </c>
      <c r="I485" s="1" t="s">
        <v>44</v>
      </c>
      <c r="J485" s="1" t="s">
        <v>32</v>
      </c>
      <c r="K485" s="4">
        <f t="shared" ca="1" si="35"/>
        <v>7.1</v>
      </c>
      <c r="L485" t="str">
        <f t="shared" si="36"/>
        <v>High</v>
      </c>
      <c r="M485" t="str">
        <f t="shared" si="37"/>
        <v>High</v>
      </c>
      <c r="N485" t="str">
        <f t="shared" si="38"/>
        <v>No PIP</v>
      </c>
      <c r="O485" t="str">
        <f t="shared" ca="1" si="39"/>
        <v>Eligible</v>
      </c>
    </row>
    <row r="486" spans="1:15" x14ac:dyDescent="0.25">
      <c r="A486" t="s">
        <v>34</v>
      </c>
      <c r="B486">
        <v>30</v>
      </c>
      <c r="C486">
        <v>60216</v>
      </c>
      <c r="D486" t="s">
        <v>14</v>
      </c>
      <c r="E486" t="s">
        <v>10</v>
      </c>
      <c r="F486" t="s">
        <v>30</v>
      </c>
      <c r="G486" s="1">
        <v>43549</v>
      </c>
      <c r="H486" s="1" t="s">
        <v>17</v>
      </c>
      <c r="I486" s="1" t="s">
        <v>44</v>
      </c>
      <c r="J486" s="1" t="s">
        <v>32</v>
      </c>
      <c r="K486" s="4">
        <f t="shared" ca="1" si="35"/>
        <v>7.1</v>
      </c>
      <c r="L486" t="str">
        <f t="shared" si="36"/>
        <v>Medium</v>
      </c>
      <c r="M486" t="str">
        <f t="shared" si="37"/>
        <v>Low</v>
      </c>
      <c r="N486" t="str">
        <f t="shared" si="38"/>
        <v>PIP</v>
      </c>
      <c r="O486" t="str">
        <f t="shared" ca="1" si="39"/>
        <v>Not Eligible</v>
      </c>
    </row>
    <row r="487" spans="1:15" x14ac:dyDescent="0.25">
      <c r="A487" t="s">
        <v>41</v>
      </c>
      <c r="B487">
        <v>35</v>
      </c>
      <c r="C487">
        <v>65000</v>
      </c>
      <c r="D487" t="s">
        <v>14</v>
      </c>
      <c r="E487" t="s">
        <v>15</v>
      </c>
      <c r="F487" t="s">
        <v>11</v>
      </c>
      <c r="G487" s="1">
        <v>43549</v>
      </c>
      <c r="H487" s="1" t="s">
        <v>12</v>
      </c>
      <c r="I487" s="1" t="s">
        <v>25</v>
      </c>
      <c r="J487" s="1" t="s">
        <v>44</v>
      </c>
      <c r="K487" s="4">
        <f t="shared" ca="1" si="35"/>
        <v>7.1</v>
      </c>
      <c r="L487" t="str">
        <f t="shared" si="36"/>
        <v>High</v>
      </c>
      <c r="M487" t="str">
        <f t="shared" si="37"/>
        <v>Low</v>
      </c>
      <c r="N487" t="str">
        <f t="shared" si="38"/>
        <v>PIP</v>
      </c>
      <c r="O487" t="str">
        <f t="shared" ca="1" si="39"/>
        <v>Not Eligible</v>
      </c>
    </row>
    <row r="488" spans="1:15" x14ac:dyDescent="0.25">
      <c r="A488" t="s">
        <v>39</v>
      </c>
      <c r="B488">
        <v>30</v>
      </c>
      <c r="C488">
        <v>65000</v>
      </c>
      <c r="D488" t="s">
        <v>9</v>
      </c>
      <c r="E488" t="s">
        <v>23</v>
      </c>
      <c r="F488" t="s">
        <v>31</v>
      </c>
      <c r="G488" s="1">
        <v>43549</v>
      </c>
      <c r="H488" s="1" t="s">
        <v>21</v>
      </c>
      <c r="I488" s="1" t="s">
        <v>18</v>
      </c>
      <c r="J488" s="1" t="s">
        <v>32</v>
      </c>
      <c r="K488" s="4">
        <f t="shared" ca="1" si="35"/>
        <v>7.1</v>
      </c>
      <c r="L488" t="str">
        <f t="shared" si="36"/>
        <v>High</v>
      </c>
      <c r="M488" t="str">
        <f t="shared" si="37"/>
        <v>Medium</v>
      </c>
      <c r="N488" t="str">
        <f t="shared" si="38"/>
        <v>No PIP</v>
      </c>
      <c r="O488" t="str">
        <f t="shared" ca="1" si="39"/>
        <v>Not Eligible</v>
      </c>
    </row>
    <row r="489" spans="1:15" x14ac:dyDescent="0.25">
      <c r="A489" t="s">
        <v>40</v>
      </c>
      <c r="B489">
        <v>40</v>
      </c>
      <c r="C489">
        <v>50000</v>
      </c>
      <c r="D489" t="s">
        <v>9</v>
      </c>
      <c r="E489" t="s">
        <v>10</v>
      </c>
      <c r="F489" t="s">
        <v>11</v>
      </c>
      <c r="G489" s="1">
        <v>43549</v>
      </c>
      <c r="H489" s="1" t="s">
        <v>21</v>
      </c>
      <c r="I489" s="1" t="s">
        <v>44</v>
      </c>
      <c r="J489" s="1" t="s">
        <v>19</v>
      </c>
      <c r="K489" s="4">
        <f t="shared" ca="1" si="35"/>
        <v>7.1</v>
      </c>
      <c r="L489" t="str">
        <f t="shared" si="36"/>
        <v>Low</v>
      </c>
      <c r="M489" t="str">
        <f t="shared" si="37"/>
        <v>Medium</v>
      </c>
      <c r="N489" t="str">
        <f t="shared" si="38"/>
        <v>No PIP</v>
      </c>
      <c r="O489" t="str">
        <f t="shared" ca="1" si="39"/>
        <v>Not Eligible</v>
      </c>
    </row>
    <row r="490" spans="1:15" x14ac:dyDescent="0.25">
      <c r="A490" t="s">
        <v>41</v>
      </c>
      <c r="B490">
        <v>25</v>
      </c>
      <c r="C490">
        <v>70000</v>
      </c>
      <c r="D490" t="s">
        <v>26</v>
      </c>
      <c r="E490" t="s">
        <v>23</v>
      </c>
      <c r="F490" t="s">
        <v>28</v>
      </c>
      <c r="G490" s="1">
        <v>43549</v>
      </c>
      <c r="H490" s="1" t="s">
        <v>17</v>
      </c>
      <c r="I490" s="1" t="s">
        <v>44</v>
      </c>
      <c r="J490" s="1" t="s">
        <v>32</v>
      </c>
      <c r="K490" s="4">
        <f t="shared" ca="1" si="35"/>
        <v>7.1</v>
      </c>
      <c r="L490" t="str">
        <f t="shared" si="36"/>
        <v>High</v>
      </c>
      <c r="M490" t="str">
        <f t="shared" si="37"/>
        <v>Low</v>
      </c>
      <c r="N490" t="str">
        <f t="shared" si="38"/>
        <v>PIP</v>
      </c>
      <c r="O490" t="str">
        <f t="shared" ca="1" si="39"/>
        <v>Not Eligible</v>
      </c>
    </row>
    <row r="491" spans="1:15" x14ac:dyDescent="0.25">
      <c r="A491" t="s">
        <v>36</v>
      </c>
      <c r="B491">
        <v>25</v>
      </c>
      <c r="C491">
        <v>65000</v>
      </c>
      <c r="D491" t="s">
        <v>26</v>
      </c>
      <c r="E491" t="s">
        <v>15</v>
      </c>
      <c r="F491" t="s">
        <v>16</v>
      </c>
      <c r="G491" s="1">
        <v>43549</v>
      </c>
      <c r="H491" s="1" t="s">
        <v>29</v>
      </c>
      <c r="I491" s="1" t="s">
        <v>44</v>
      </c>
      <c r="J491" s="1" t="s">
        <v>32</v>
      </c>
      <c r="K491" s="4">
        <f t="shared" ca="1" si="35"/>
        <v>7.1</v>
      </c>
      <c r="L491" t="str">
        <f t="shared" si="36"/>
        <v>High</v>
      </c>
      <c r="M491" t="str">
        <f t="shared" si="37"/>
        <v>Medium</v>
      </c>
      <c r="N491" t="str">
        <f t="shared" si="38"/>
        <v>No PIP</v>
      </c>
      <c r="O491" t="str">
        <f t="shared" ca="1" si="39"/>
        <v>Not Eligible</v>
      </c>
    </row>
    <row r="492" spans="1:15" x14ac:dyDescent="0.25">
      <c r="A492" t="s">
        <v>34</v>
      </c>
      <c r="B492">
        <v>40</v>
      </c>
      <c r="C492">
        <v>60216</v>
      </c>
      <c r="D492" t="s">
        <v>26</v>
      </c>
      <c r="E492" t="s">
        <v>23</v>
      </c>
      <c r="F492" t="s">
        <v>28</v>
      </c>
      <c r="G492" s="1">
        <v>43549</v>
      </c>
      <c r="H492" s="1" t="s">
        <v>29</v>
      </c>
      <c r="I492" s="1" t="s">
        <v>13</v>
      </c>
      <c r="J492" s="1" t="s">
        <v>19</v>
      </c>
      <c r="K492" s="4">
        <f t="shared" ca="1" si="35"/>
        <v>7.1</v>
      </c>
      <c r="L492" t="str">
        <f t="shared" si="36"/>
        <v>Medium</v>
      </c>
      <c r="M492" t="str">
        <f t="shared" si="37"/>
        <v>Medium</v>
      </c>
      <c r="N492" t="str">
        <f t="shared" si="38"/>
        <v>No PIP</v>
      </c>
      <c r="O492" t="str">
        <f t="shared" ca="1" si="39"/>
        <v>Not Eligible</v>
      </c>
    </row>
    <row r="493" spans="1:15" x14ac:dyDescent="0.25">
      <c r="A493" t="s">
        <v>41</v>
      </c>
      <c r="B493">
        <v>25</v>
      </c>
      <c r="C493">
        <v>70000</v>
      </c>
      <c r="D493" t="s">
        <v>14</v>
      </c>
      <c r="E493" t="s">
        <v>10</v>
      </c>
      <c r="F493" t="s">
        <v>16</v>
      </c>
      <c r="G493" s="1">
        <v>43549</v>
      </c>
      <c r="H493" s="1" t="s">
        <v>17</v>
      </c>
      <c r="I493" s="1" t="s">
        <v>13</v>
      </c>
      <c r="J493" s="1" t="s">
        <v>22</v>
      </c>
      <c r="K493" s="4">
        <f t="shared" ca="1" si="35"/>
        <v>7.1</v>
      </c>
      <c r="L493" t="str">
        <f t="shared" si="36"/>
        <v>High</v>
      </c>
      <c r="M493" t="str">
        <f t="shared" si="37"/>
        <v>Low</v>
      </c>
      <c r="N493" t="str">
        <f t="shared" si="38"/>
        <v>PIP</v>
      </c>
      <c r="O493" t="str">
        <f t="shared" ca="1" si="39"/>
        <v>Not Eligible</v>
      </c>
    </row>
    <row r="494" spans="1:15" x14ac:dyDescent="0.25">
      <c r="A494" t="s">
        <v>36</v>
      </c>
      <c r="B494">
        <v>35</v>
      </c>
      <c r="C494">
        <v>65000</v>
      </c>
      <c r="D494" t="s">
        <v>26</v>
      </c>
      <c r="E494" t="s">
        <v>10</v>
      </c>
      <c r="F494" t="s">
        <v>28</v>
      </c>
      <c r="G494" s="1">
        <v>43549</v>
      </c>
      <c r="H494" s="1" t="s">
        <v>29</v>
      </c>
      <c r="I494" s="1" t="s">
        <v>44</v>
      </c>
      <c r="J494" s="1" t="s">
        <v>32</v>
      </c>
      <c r="K494" s="4">
        <f t="shared" ca="1" si="35"/>
        <v>7.1</v>
      </c>
      <c r="L494" t="str">
        <f t="shared" si="36"/>
        <v>High</v>
      </c>
      <c r="M494" t="str">
        <f t="shared" si="37"/>
        <v>Medium</v>
      </c>
      <c r="N494" t="str">
        <f t="shared" si="38"/>
        <v>No PIP</v>
      </c>
      <c r="O494" t="str">
        <f t="shared" ca="1" si="39"/>
        <v>Not Eligible</v>
      </c>
    </row>
    <row r="495" spans="1:15" x14ac:dyDescent="0.25">
      <c r="A495" t="s">
        <v>38</v>
      </c>
      <c r="B495">
        <v>30</v>
      </c>
      <c r="C495">
        <v>65000</v>
      </c>
      <c r="D495" t="s">
        <v>9</v>
      </c>
      <c r="E495" t="s">
        <v>20</v>
      </c>
      <c r="F495" t="s">
        <v>16</v>
      </c>
      <c r="G495" s="1">
        <v>43549</v>
      </c>
      <c r="H495" s="1" t="s">
        <v>21</v>
      </c>
      <c r="I495" s="1" t="s">
        <v>44</v>
      </c>
      <c r="J495" s="1" t="s">
        <v>44</v>
      </c>
      <c r="K495" s="4">
        <f t="shared" ca="1" si="35"/>
        <v>7.1</v>
      </c>
      <c r="L495" t="str">
        <f t="shared" si="36"/>
        <v>High</v>
      </c>
      <c r="M495" t="str">
        <f t="shared" si="37"/>
        <v>Medium</v>
      </c>
      <c r="N495" t="str">
        <f t="shared" si="38"/>
        <v>No PIP</v>
      </c>
      <c r="O495" t="str">
        <f t="shared" ca="1" si="39"/>
        <v>Not Eligible</v>
      </c>
    </row>
    <row r="496" spans="1:15" x14ac:dyDescent="0.25">
      <c r="A496" t="s">
        <v>38</v>
      </c>
      <c r="B496">
        <v>50</v>
      </c>
      <c r="C496">
        <v>55000</v>
      </c>
      <c r="D496" t="s">
        <v>9</v>
      </c>
      <c r="E496" t="s">
        <v>10</v>
      </c>
      <c r="F496" t="s">
        <v>16</v>
      </c>
      <c r="G496" s="1">
        <v>43549</v>
      </c>
      <c r="H496" s="1" t="s">
        <v>17</v>
      </c>
      <c r="I496" s="1" t="s">
        <v>18</v>
      </c>
      <c r="J496" s="1" t="s">
        <v>44</v>
      </c>
      <c r="K496" s="4">
        <f t="shared" ca="1" si="35"/>
        <v>7.1</v>
      </c>
      <c r="L496" t="str">
        <f t="shared" si="36"/>
        <v>Low</v>
      </c>
      <c r="M496" t="str">
        <f t="shared" si="37"/>
        <v>Low</v>
      </c>
      <c r="N496" t="str">
        <f t="shared" si="38"/>
        <v>PIP</v>
      </c>
      <c r="O496" t="str">
        <f t="shared" ca="1" si="39"/>
        <v>Not Eligible</v>
      </c>
    </row>
    <row r="497" spans="1:15" x14ac:dyDescent="0.25">
      <c r="A497" t="s">
        <v>41</v>
      </c>
      <c r="B497">
        <v>30</v>
      </c>
      <c r="C497">
        <v>70000</v>
      </c>
      <c r="D497" t="s">
        <v>9</v>
      </c>
      <c r="E497" t="s">
        <v>20</v>
      </c>
      <c r="F497" t="s">
        <v>31</v>
      </c>
      <c r="G497" s="1">
        <v>43549</v>
      </c>
      <c r="H497" s="1" t="s">
        <v>24</v>
      </c>
      <c r="I497" s="1" t="s">
        <v>44</v>
      </c>
      <c r="J497" s="1" t="s">
        <v>32</v>
      </c>
      <c r="K497" s="4">
        <f t="shared" ca="1" si="35"/>
        <v>7.1</v>
      </c>
      <c r="L497" t="str">
        <f t="shared" si="36"/>
        <v>High</v>
      </c>
      <c r="M497" t="str">
        <f t="shared" si="37"/>
        <v>High</v>
      </c>
      <c r="N497" t="str">
        <f t="shared" si="38"/>
        <v>No PIP</v>
      </c>
      <c r="O497" t="str">
        <f t="shared" ca="1" si="39"/>
        <v>Eligible</v>
      </c>
    </row>
    <row r="498" spans="1:15" x14ac:dyDescent="0.25">
      <c r="A498" t="s">
        <v>34</v>
      </c>
      <c r="B498">
        <v>35</v>
      </c>
      <c r="C498">
        <v>55000</v>
      </c>
      <c r="D498" t="s">
        <v>9</v>
      </c>
      <c r="E498" t="s">
        <v>10</v>
      </c>
      <c r="F498" t="s">
        <v>30</v>
      </c>
      <c r="G498" s="1">
        <v>43549</v>
      </c>
      <c r="H498" s="1" t="s">
        <v>17</v>
      </c>
      <c r="I498" s="1" t="s">
        <v>13</v>
      </c>
      <c r="J498" s="1" t="s">
        <v>19</v>
      </c>
      <c r="K498" s="4">
        <f t="shared" ca="1" si="35"/>
        <v>7.1</v>
      </c>
      <c r="L498" t="str">
        <f t="shared" si="36"/>
        <v>Low</v>
      </c>
      <c r="M498" t="str">
        <f t="shared" si="37"/>
        <v>Low</v>
      </c>
      <c r="N498" t="str">
        <f t="shared" si="38"/>
        <v>PIP</v>
      </c>
      <c r="O498" t="str">
        <f t="shared" ca="1" si="39"/>
        <v>Not Eligible</v>
      </c>
    </row>
    <row r="499" spans="1:15" x14ac:dyDescent="0.25">
      <c r="A499" t="s">
        <v>33</v>
      </c>
      <c r="B499">
        <v>40</v>
      </c>
      <c r="C499">
        <v>70000</v>
      </c>
      <c r="D499" t="s">
        <v>9</v>
      </c>
      <c r="E499" t="s">
        <v>20</v>
      </c>
      <c r="F499" t="s">
        <v>31</v>
      </c>
      <c r="G499" s="1">
        <v>43549</v>
      </c>
      <c r="H499" s="1" t="s">
        <v>12</v>
      </c>
      <c r="I499" s="1" t="s">
        <v>44</v>
      </c>
      <c r="J499" s="1" t="s">
        <v>44</v>
      </c>
      <c r="K499" s="4">
        <f t="shared" ca="1" si="35"/>
        <v>7.1</v>
      </c>
      <c r="L499" t="str">
        <f t="shared" si="36"/>
        <v>High</v>
      </c>
      <c r="M499" t="str">
        <f t="shared" si="37"/>
        <v>Low</v>
      </c>
      <c r="N499" t="str">
        <f t="shared" si="38"/>
        <v>PIP</v>
      </c>
      <c r="O499" t="str">
        <f t="shared" ca="1" si="39"/>
        <v>Not Eligible</v>
      </c>
    </row>
    <row r="500" spans="1:15" x14ac:dyDescent="0.25">
      <c r="A500" t="s">
        <v>38</v>
      </c>
      <c r="B500">
        <v>35</v>
      </c>
      <c r="C500">
        <v>60000</v>
      </c>
      <c r="D500" t="s">
        <v>14</v>
      </c>
      <c r="E500" t="s">
        <v>10</v>
      </c>
      <c r="F500" t="s">
        <v>30</v>
      </c>
      <c r="G500" s="1">
        <v>43549</v>
      </c>
      <c r="H500" s="1" t="s">
        <v>24</v>
      </c>
      <c r="I500" s="1" t="s">
        <v>44</v>
      </c>
      <c r="J500" s="1" t="s">
        <v>19</v>
      </c>
      <c r="K500" s="4">
        <f t="shared" ca="1" si="35"/>
        <v>7.1</v>
      </c>
      <c r="L500" t="str">
        <f t="shared" si="36"/>
        <v>Medium</v>
      </c>
      <c r="M500" t="str">
        <f t="shared" si="37"/>
        <v>High</v>
      </c>
      <c r="N500" t="str">
        <f t="shared" si="38"/>
        <v>No PIP</v>
      </c>
      <c r="O500" t="str">
        <f t="shared" ca="1" si="39"/>
        <v>Eligible</v>
      </c>
    </row>
    <row r="501" spans="1:15" x14ac:dyDescent="0.25">
      <c r="A501" t="s">
        <v>37</v>
      </c>
      <c r="B501">
        <v>40</v>
      </c>
      <c r="C501">
        <v>50000</v>
      </c>
      <c r="D501" t="s">
        <v>9</v>
      </c>
      <c r="E501" t="s">
        <v>15</v>
      </c>
      <c r="F501" t="s">
        <v>16</v>
      </c>
      <c r="G501" s="1">
        <v>43549</v>
      </c>
      <c r="H501" s="1" t="s">
        <v>17</v>
      </c>
      <c r="I501" s="1" t="s">
        <v>44</v>
      </c>
      <c r="J501" s="1" t="s">
        <v>32</v>
      </c>
      <c r="K501" s="4">
        <f t="shared" ca="1" si="35"/>
        <v>7.1</v>
      </c>
      <c r="L501" t="str">
        <f t="shared" si="36"/>
        <v>Low</v>
      </c>
      <c r="M501" t="str">
        <f t="shared" si="37"/>
        <v>Low</v>
      </c>
      <c r="N501" t="str">
        <f t="shared" si="38"/>
        <v>PIP</v>
      </c>
      <c r="O501" t="str">
        <f t="shared" ca="1" si="39"/>
        <v>Not Eligible</v>
      </c>
    </row>
    <row r="502" spans="1:15" x14ac:dyDescent="0.25">
      <c r="A502" t="s">
        <v>39</v>
      </c>
      <c r="B502">
        <v>25</v>
      </c>
      <c r="C502">
        <v>60000</v>
      </c>
      <c r="D502" t="s">
        <v>9</v>
      </c>
      <c r="E502" t="s">
        <v>20</v>
      </c>
      <c r="F502" t="s">
        <v>30</v>
      </c>
      <c r="G502" s="1">
        <v>43549</v>
      </c>
      <c r="H502" s="1" t="s">
        <v>29</v>
      </c>
      <c r="I502" s="1" t="s">
        <v>25</v>
      </c>
      <c r="J502" s="1" t="s">
        <v>44</v>
      </c>
      <c r="K502" s="4">
        <f t="shared" ca="1" si="35"/>
        <v>7.1</v>
      </c>
      <c r="L502" t="str">
        <f t="shared" si="36"/>
        <v>Medium</v>
      </c>
      <c r="M502" t="str">
        <f t="shared" si="37"/>
        <v>Medium</v>
      </c>
      <c r="N502" t="str">
        <f t="shared" si="38"/>
        <v>No PIP</v>
      </c>
      <c r="O502" t="str">
        <f t="shared" ca="1" si="39"/>
        <v>Not Eligible</v>
      </c>
    </row>
    <row r="503" spans="1:15" x14ac:dyDescent="0.25">
      <c r="A503" t="s">
        <v>40</v>
      </c>
      <c r="B503">
        <v>25</v>
      </c>
      <c r="C503">
        <v>60000</v>
      </c>
      <c r="D503" t="s">
        <v>9</v>
      </c>
      <c r="E503" t="s">
        <v>20</v>
      </c>
      <c r="F503" t="s">
        <v>30</v>
      </c>
      <c r="G503" s="1">
        <v>43549</v>
      </c>
      <c r="H503" s="1" t="s">
        <v>21</v>
      </c>
      <c r="I503" s="1" t="s">
        <v>18</v>
      </c>
      <c r="J503" s="1" t="s">
        <v>19</v>
      </c>
      <c r="K503" s="4">
        <f t="shared" ca="1" si="35"/>
        <v>7.1</v>
      </c>
      <c r="L503" t="str">
        <f t="shared" si="36"/>
        <v>Medium</v>
      </c>
      <c r="M503" t="str">
        <f t="shared" si="37"/>
        <v>Medium</v>
      </c>
      <c r="N503" t="str">
        <f t="shared" si="38"/>
        <v>No PIP</v>
      </c>
      <c r="O503" t="str">
        <f t="shared" ca="1" si="39"/>
        <v>Not Eligible</v>
      </c>
    </row>
    <row r="504" spans="1:15" x14ac:dyDescent="0.25">
      <c r="A504" t="s">
        <v>40</v>
      </c>
      <c r="B504">
        <v>50</v>
      </c>
      <c r="C504">
        <v>60000</v>
      </c>
      <c r="D504" t="s">
        <v>14</v>
      </c>
      <c r="E504" t="s">
        <v>20</v>
      </c>
      <c r="F504" t="s">
        <v>28</v>
      </c>
      <c r="G504" s="1">
        <v>43549</v>
      </c>
      <c r="H504" s="1" t="s">
        <v>12</v>
      </c>
      <c r="I504" s="1" t="s">
        <v>25</v>
      </c>
      <c r="J504" s="1" t="s">
        <v>19</v>
      </c>
      <c r="K504" s="4">
        <f t="shared" ca="1" si="35"/>
        <v>7.1</v>
      </c>
      <c r="L504" t="str">
        <f t="shared" si="36"/>
        <v>Medium</v>
      </c>
      <c r="M504" t="str">
        <f t="shared" si="37"/>
        <v>Low</v>
      </c>
      <c r="N504" t="str">
        <f t="shared" si="38"/>
        <v>PIP</v>
      </c>
      <c r="O504" t="str">
        <f t="shared" ca="1" si="39"/>
        <v>Not Eligible</v>
      </c>
    </row>
    <row r="505" spans="1:15" x14ac:dyDescent="0.25">
      <c r="A505" t="s">
        <v>41</v>
      </c>
      <c r="B505">
        <v>25</v>
      </c>
      <c r="C505">
        <v>65000</v>
      </c>
      <c r="D505" t="s">
        <v>14</v>
      </c>
      <c r="E505" t="s">
        <v>23</v>
      </c>
      <c r="F505" t="s">
        <v>30</v>
      </c>
      <c r="G505" s="1">
        <v>43549</v>
      </c>
      <c r="H505" s="1" t="s">
        <v>17</v>
      </c>
      <c r="I505" s="1" t="s">
        <v>13</v>
      </c>
      <c r="J505" s="1" t="s">
        <v>19</v>
      </c>
      <c r="K505" s="4">
        <f t="shared" ca="1" si="35"/>
        <v>7.1</v>
      </c>
      <c r="L505" t="str">
        <f t="shared" si="36"/>
        <v>High</v>
      </c>
      <c r="M505" t="str">
        <f t="shared" si="37"/>
        <v>Low</v>
      </c>
      <c r="N505" t="str">
        <f t="shared" si="38"/>
        <v>PIP</v>
      </c>
      <c r="O505" t="str">
        <f t="shared" ca="1" si="39"/>
        <v>Not Eligible</v>
      </c>
    </row>
    <row r="506" spans="1:15" x14ac:dyDescent="0.25">
      <c r="A506" t="s">
        <v>41</v>
      </c>
      <c r="B506">
        <v>25</v>
      </c>
      <c r="C506">
        <v>65000</v>
      </c>
      <c r="D506" t="s">
        <v>9</v>
      </c>
      <c r="E506" t="s">
        <v>10</v>
      </c>
      <c r="F506" t="s">
        <v>16</v>
      </c>
      <c r="G506" s="1">
        <v>43549</v>
      </c>
      <c r="H506" s="1" t="s">
        <v>12</v>
      </c>
      <c r="I506" s="1" t="s">
        <v>18</v>
      </c>
      <c r="J506" s="1" t="s">
        <v>44</v>
      </c>
      <c r="K506" s="4">
        <f t="shared" ca="1" si="35"/>
        <v>7.1</v>
      </c>
      <c r="L506" t="str">
        <f t="shared" si="36"/>
        <v>High</v>
      </c>
      <c r="M506" t="str">
        <f t="shared" si="37"/>
        <v>Low</v>
      </c>
      <c r="N506" t="str">
        <f t="shared" si="38"/>
        <v>PIP</v>
      </c>
      <c r="O506" t="str">
        <f t="shared" ca="1" si="39"/>
        <v>Not Eligible</v>
      </c>
    </row>
    <row r="507" spans="1:15" x14ac:dyDescent="0.25">
      <c r="A507" t="s">
        <v>35</v>
      </c>
      <c r="B507">
        <v>40</v>
      </c>
      <c r="C507">
        <v>55000</v>
      </c>
      <c r="D507" t="s">
        <v>26</v>
      </c>
      <c r="E507" t="s">
        <v>20</v>
      </c>
      <c r="F507" t="s">
        <v>30</v>
      </c>
      <c r="G507" s="1">
        <v>43549</v>
      </c>
      <c r="H507" s="1" t="s">
        <v>24</v>
      </c>
      <c r="I507" s="1" t="s">
        <v>25</v>
      </c>
      <c r="J507" s="1" t="s">
        <v>32</v>
      </c>
      <c r="K507" s="4">
        <f t="shared" ca="1" si="35"/>
        <v>7.1</v>
      </c>
      <c r="L507" t="str">
        <f t="shared" si="36"/>
        <v>Low</v>
      </c>
      <c r="M507" t="str">
        <f t="shared" si="37"/>
        <v>High</v>
      </c>
      <c r="N507" t="str">
        <f t="shared" si="38"/>
        <v>No PIP</v>
      </c>
      <c r="O507" t="str">
        <f t="shared" ca="1" si="39"/>
        <v>Eligible</v>
      </c>
    </row>
    <row r="508" spans="1:15" x14ac:dyDescent="0.25">
      <c r="A508" t="s">
        <v>42</v>
      </c>
      <c r="B508">
        <v>50</v>
      </c>
      <c r="C508">
        <v>60216</v>
      </c>
      <c r="D508" t="s">
        <v>14</v>
      </c>
      <c r="E508" t="s">
        <v>27</v>
      </c>
      <c r="F508" t="s">
        <v>30</v>
      </c>
      <c r="G508" s="1">
        <v>43549</v>
      </c>
      <c r="H508" s="1" t="s">
        <v>24</v>
      </c>
      <c r="I508" s="1" t="s">
        <v>25</v>
      </c>
      <c r="J508" s="1" t="s">
        <v>19</v>
      </c>
      <c r="K508" s="4">
        <f t="shared" ca="1" si="35"/>
        <v>7.1</v>
      </c>
      <c r="L508" t="str">
        <f t="shared" si="36"/>
        <v>Medium</v>
      </c>
      <c r="M508" t="str">
        <f t="shared" si="37"/>
        <v>High</v>
      </c>
      <c r="N508" t="str">
        <f t="shared" si="38"/>
        <v>No PIP</v>
      </c>
      <c r="O508" t="str">
        <f t="shared" ca="1" si="39"/>
        <v>Eligible</v>
      </c>
    </row>
    <row r="509" spans="1:15" x14ac:dyDescent="0.25">
      <c r="A509" t="s">
        <v>41</v>
      </c>
      <c r="B509">
        <v>35</v>
      </c>
      <c r="C509">
        <v>50000</v>
      </c>
      <c r="D509" t="s">
        <v>14</v>
      </c>
      <c r="E509" t="s">
        <v>20</v>
      </c>
      <c r="F509" t="s">
        <v>31</v>
      </c>
      <c r="G509" s="1">
        <v>43549</v>
      </c>
      <c r="H509" s="1" t="s">
        <v>24</v>
      </c>
      <c r="I509" s="1" t="s">
        <v>18</v>
      </c>
      <c r="J509" s="1" t="s">
        <v>44</v>
      </c>
      <c r="K509" s="4">
        <f t="shared" ca="1" si="35"/>
        <v>7.1</v>
      </c>
      <c r="L509" t="str">
        <f t="shared" si="36"/>
        <v>Low</v>
      </c>
      <c r="M509" t="str">
        <f t="shared" si="37"/>
        <v>High</v>
      </c>
      <c r="N509" t="str">
        <f t="shared" si="38"/>
        <v>No PIP</v>
      </c>
      <c r="O509" t="str">
        <f t="shared" ca="1" si="39"/>
        <v>Eligible</v>
      </c>
    </row>
    <row r="510" spans="1:15" x14ac:dyDescent="0.25">
      <c r="A510" t="s">
        <v>33</v>
      </c>
      <c r="B510">
        <v>40</v>
      </c>
      <c r="C510">
        <v>70000</v>
      </c>
      <c r="D510" t="s">
        <v>9</v>
      </c>
      <c r="E510" t="s">
        <v>20</v>
      </c>
      <c r="F510" t="s">
        <v>31</v>
      </c>
      <c r="G510" s="1">
        <v>43549</v>
      </c>
      <c r="H510" s="1" t="s">
        <v>21</v>
      </c>
      <c r="I510" s="1" t="s">
        <v>44</v>
      </c>
      <c r="J510" s="1" t="s">
        <v>44</v>
      </c>
      <c r="K510" s="4">
        <f t="shared" ca="1" si="35"/>
        <v>7.1</v>
      </c>
      <c r="L510" t="str">
        <f t="shared" si="36"/>
        <v>High</v>
      </c>
      <c r="M510" t="str">
        <f t="shared" si="37"/>
        <v>Medium</v>
      </c>
      <c r="N510" t="str">
        <f t="shared" si="38"/>
        <v>No PIP</v>
      </c>
      <c r="O510" t="str">
        <f t="shared" ca="1" si="39"/>
        <v>Not Eligible</v>
      </c>
    </row>
    <row r="511" spans="1:15" x14ac:dyDescent="0.25">
      <c r="A511" t="s">
        <v>33</v>
      </c>
      <c r="B511">
        <v>25</v>
      </c>
      <c r="C511">
        <v>60216</v>
      </c>
      <c r="D511" t="s">
        <v>26</v>
      </c>
      <c r="E511" t="s">
        <v>10</v>
      </c>
      <c r="F511" t="s">
        <v>31</v>
      </c>
      <c r="G511" s="1">
        <v>43549</v>
      </c>
      <c r="H511" s="1" t="s">
        <v>17</v>
      </c>
      <c r="I511" s="1" t="s">
        <v>44</v>
      </c>
      <c r="J511" s="1" t="s">
        <v>44</v>
      </c>
      <c r="K511" s="4">
        <f t="shared" ca="1" si="35"/>
        <v>7.1</v>
      </c>
      <c r="L511" t="str">
        <f t="shared" si="36"/>
        <v>Medium</v>
      </c>
      <c r="M511" t="str">
        <f t="shared" si="37"/>
        <v>Low</v>
      </c>
      <c r="N511" t="str">
        <f t="shared" si="38"/>
        <v>PIP</v>
      </c>
      <c r="O511" t="str">
        <f t="shared" ca="1" si="39"/>
        <v>Not Eligible</v>
      </c>
    </row>
    <row r="512" spans="1:15" x14ac:dyDescent="0.25">
      <c r="A512" t="s">
        <v>36</v>
      </c>
      <c r="B512">
        <v>40</v>
      </c>
      <c r="C512">
        <v>65000</v>
      </c>
      <c r="D512" t="s">
        <v>9</v>
      </c>
      <c r="E512" t="s">
        <v>23</v>
      </c>
      <c r="F512" t="s">
        <v>11</v>
      </c>
      <c r="G512" s="1">
        <v>43549</v>
      </c>
      <c r="H512" s="1" t="s">
        <v>24</v>
      </c>
      <c r="I512" s="1" t="s">
        <v>18</v>
      </c>
      <c r="J512" s="1" t="s">
        <v>44</v>
      </c>
      <c r="K512" s="4">
        <f t="shared" ca="1" si="35"/>
        <v>7.1</v>
      </c>
      <c r="L512" t="str">
        <f t="shared" si="36"/>
        <v>High</v>
      </c>
      <c r="M512" t="str">
        <f t="shared" si="37"/>
        <v>High</v>
      </c>
      <c r="N512" t="str">
        <f t="shared" si="38"/>
        <v>No PIP</v>
      </c>
      <c r="O512" t="str">
        <f t="shared" ca="1" si="39"/>
        <v>Eligible</v>
      </c>
    </row>
    <row r="513" spans="1:15" x14ac:dyDescent="0.25">
      <c r="A513" t="s">
        <v>41</v>
      </c>
      <c r="B513">
        <v>40</v>
      </c>
      <c r="C513">
        <v>70000</v>
      </c>
      <c r="D513" t="s">
        <v>9</v>
      </c>
      <c r="E513" t="s">
        <v>23</v>
      </c>
      <c r="F513" t="s">
        <v>30</v>
      </c>
      <c r="G513" s="1">
        <v>43549</v>
      </c>
      <c r="H513" s="1" t="s">
        <v>21</v>
      </c>
      <c r="I513" s="1" t="s">
        <v>44</v>
      </c>
      <c r="J513" s="1" t="s">
        <v>22</v>
      </c>
      <c r="K513" s="4">
        <f t="shared" ca="1" si="35"/>
        <v>7.1</v>
      </c>
      <c r="L513" t="str">
        <f t="shared" si="36"/>
        <v>High</v>
      </c>
      <c r="M513" t="str">
        <f t="shared" si="37"/>
        <v>Medium</v>
      </c>
      <c r="N513" t="str">
        <f t="shared" si="38"/>
        <v>No PIP</v>
      </c>
      <c r="O513" t="str">
        <f t="shared" ca="1" si="39"/>
        <v>Not Eligible</v>
      </c>
    </row>
    <row r="514" spans="1:15" x14ac:dyDescent="0.25">
      <c r="A514" t="s">
        <v>35</v>
      </c>
      <c r="B514">
        <v>25</v>
      </c>
      <c r="C514">
        <v>65000</v>
      </c>
      <c r="D514" t="s">
        <v>14</v>
      </c>
      <c r="E514" t="s">
        <v>10</v>
      </c>
      <c r="F514" t="s">
        <v>31</v>
      </c>
      <c r="G514" s="1">
        <v>43549</v>
      </c>
      <c r="H514" s="1" t="s">
        <v>12</v>
      </c>
      <c r="I514" s="1" t="s">
        <v>44</v>
      </c>
      <c r="J514" s="1" t="s">
        <v>22</v>
      </c>
      <c r="K514" s="4">
        <f t="shared" ca="1" si="35"/>
        <v>7.1</v>
      </c>
      <c r="L514" t="str">
        <f t="shared" si="36"/>
        <v>High</v>
      </c>
      <c r="M514" t="str">
        <f t="shared" si="37"/>
        <v>Low</v>
      </c>
      <c r="N514" t="str">
        <f t="shared" si="38"/>
        <v>PIP</v>
      </c>
      <c r="O514" t="str">
        <f t="shared" ca="1" si="39"/>
        <v>Not Eligible</v>
      </c>
    </row>
    <row r="515" spans="1:15" x14ac:dyDescent="0.25">
      <c r="A515" t="s">
        <v>36</v>
      </c>
      <c r="B515">
        <v>25</v>
      </c>
      <c r="C515">
        <v>60000</v>
      </c>
      <c r="D515" t="s">
        <v>26</v>
      </c>
      <c r="E515" t="s">
        <v>27</v>
      </c>
      <c r="F515" t="s">
        <v>11</v>
      </c>
      <c r="G515" s="1">
        <v>43549</v>
      </c>
      <c r="H515" s="1" t="s">
        <v>17</v>
      </c>
      <c r="I515" s="1" t="s">
        <v>44</v>
      </c>
      <c r="J515" s="1" t="s">
        <v>44</v>
      </c>
      <c r="K515" s="4">
        <f t="shared" ref="K515:K578" ca="1" si="40">ROUND((TODAY()-G515)/365,1)</f>
        <v>7.1</v>
      </c>
      <c r="L515" t="str">
        <f t="shared" ref="L515:L578" si="41">IF(C515&lt;60000,"Low", IF(C515&lt;65000,"Medium","High"))</f>
        <v>Medium</v>
      </c>
      <c r="M515" t="str">
        <f t="shared" ref="M515:M578" si="42">IF(H515="A","High",IF(OR(H515="B",H515="C"),"Medium","Low"))</f>
        <v>Low</v>
      </c>
      <c r="N515" t="str">
        <f t="shared" ref="N515:N578" si="43">IF(M515="Low","PIP","No PIP")</f>
        <v>PIP</v>
      </c>
      <c r="O515" t="str">
        <f t="shared" ref="O515:O578" ca="1" si="44">IF(AND(M515="High",K515&gt;3),"Eligible","Not Eligible")</f>
        <v>Not Eligible</v>
      </c>
    </row>
    <row r="516" spans="1:15" x14ac:dyDescent="0.25">
      <c r="A516" t="s">
        <v>39</v>
      </c>
      <c r="B516">
        <v>35</v>
      </c>
      <c r="C516">
        <v>55000</v>
      </c>
      <c r="D516" t="s">
        <v>9</v>
      </c>
      <c r="E516" t="s">
        <v>10</v>
      </c>
      <c r="F516" t="s">
        <v>31</v>
      </c>
      <c r="G516" s="1">
        <v>43549</v>
      </c>
      <c r="H516" s="1" t="s">
        <v>17</v>
      </c>
      <c r="I516" s="1" t="s">
        <v>44</v>
      </c>
      <c r="J516" s="1" t="s">
        <v>44</v>
      </c>
      <c r="K516" s="4">
        <f t="shared" ca="1" si="40"/>
        <v>7.1</v>
      </c>
      <c r="L516" t="str">
        <f t="shared" si="41"/>
        <v>Low</v>
      </c>
      <c r="M516" t="str">
        <f t="shared" si="42"/>
        <v>Low</v>
      </c>
      <c r="N516" t="str">
        <f t="shared" si="43"/>
        <v>PIP</v>
      </c>
      <c r="O516" t="str">
        <f t="shared" ca="1" si="44"/>
        <v>Not Eligible</v>
      </c>
    </row>
    <row r="517" spans="1:15" x14ac:dyDescent="0.25">
      <c r="A517" t="s">
        <v>42</v>
      </c>
      <c r="B517">
        <v>40</v>
      </c>
      <c r="C517">
        <v>70000</v>
      </c>
      <c r="D517" t="s">
        <v>14</v>
      </c>
      <c r="E517" t="s">
        <v>20</v>
      </c>
      <c r="F517" t="s">
        <v>28</v>
      </c>
      <c r="G517" s="1">
        <v>43549</v>
      </c>
      <c r="H517" s="1" t="s">
        <v>21</v>
      </c>
      <c r="I517" s="1" t="s">
        <v>18</v>
      </c>
      <c r="J517" s="1" t="s">
        <v>44</v>
      </c>
      <c r="K517" s="4">
        <f t="shared" ca="1" si="40"/>
        <v>7.1</v>
      </c>
      <c r="L517" t="str">
        <f t="shared" si="41"/>
        <v>High</v>
      </c>
      <c r="M517" t="str">
        <f t="shared" si="42"/>
        <v>Medium</v>
      </c>
      <c r="N517" t="str">
        <f t="shared" si="43"/>
        <v>No PIP</v>
      </c>
      <c r="O517" t="str">
        <f t="shared" ca="1" si="44"/>
        <v>Not Eligible</v>
      </c>
    </row>
    <row r="518" spans="1:15" x14ac:dyDescent="0.25">
      <c r="A518" t="s">
        <v>36</v>
      </c>
      <c r="B518">
        <v>35</v>
      </c>
      <c r="C518">
        <v>70000</v>
      </c>
      <c r="D518" t="s">
        <v>26</v>
      </c>
      <c r="E518" t="s">
        <v>10</v>
      </c>
      <c r="F518" t="s">
        <v>30</v>
      </c>
      <c r="G518" s="1">
        <v>43549</v>
      </c>
      <c r="H518" s="1" t="s">
        <v>17</v>
      </c>
      <c r="I518" s="1" t="s">
        <v>44</v>
      </c>
      <c r="J518" s="1" t="s">
        <v>22</v>
      </c>
      <c r="K518" s="4">
        <f t="shared" ca="1" si="40"/>
        <v>7.1</v>
      </c>
      <c r="L518" t="str">
        <f t="shared" si="41"/>
        <v>High</v>
      </c>
      <c r="M518" t="str">
        <f t="shared" si="42"/>
        <v>Low</v>
      </c>
      <c r="N518" t="str">
        <f t="shared" si="43"/>
        <v>PIP</v>
      </c>
      <c r="O518" t="str">
        <f t="shared" ca="1" si="44"/>
        <v>Not Eligible</v>
      </c>
    </row>
    <row r="519" spans="1:15" x14ac:dyDescent="0.25">
      <c r="A519" t="s">
        <v>37</v>
      </c>
      <c r="B519">
        <v>40</v>
      </c>
      <c r="C519">
        <v>65000</v>
      </c>
      <c r="D519" t="s">
        <v>9</v>
      </c>
      <c r="E519" t="s">
        <v>10</v>
      </c>
      <c r="F519" t="s">
        <v>28</v>
      </c>
      <c r="G519" s="1">
        <v>43549</v>
      </c>
      <c r="H519" s="1" t="s">
        <v>29</v>
      </c>
      <c r="I519" s="1" t="s">
        <v>13</v>
      </c>
      <c r="J519" s="1" t="s">
        <v>19</v>
      </c>
      <c r="K519" s="4">
        <f t="shared" ca="1" si="40"/>
        <v>7.1</v>
      </c>
      <c r="L519" t="str">
        <f t="shared" si="41"/>
        <v>High</v>
      </c>
      <c r="M519" t="str">
        <f t="shared" si="42"/>
        <v>Medium</v>
      </c>
      <c r="N519" t="str">
        <f t="shared" si="43"/>
        <v>No PIP</v>
      </c>
      <c r="O519" t="str">
        <f t="shared" ca="1" si="44"/>
        <v>Not Eligible</v>
      </c>
    </row>
    <row r="520" spans="1:15" x14ac:dyDescent="0.25">
      <c r="A520" t="s">
        <v>36</v>
      </c>
      <c r="B520">
        <v>35</v>
      </c>
      <c r="C520">
        <v>65000</v>
      </c>
      <c r="D520" t="s">
        <v>14</v>
      </c>
      <c r="E520" t="s">
        <v>23</v>
      </c>
      <c r="F520" t="s">
        <v>31</v>
      </c>
      <c r="G520" s="1">
        <v>43549</v>
      </c>
      <c r="H520" s="1" t="s">
        <v>17</v>
      </c>
      <c r="I520" s="1" t="s">
        <v>13</v>
      </c>
      <c r="J520" s="1" t="s">
        <v>22</v>
      </c>
      <c r="K520" s="4">
        <f t="shared" ca="1" si="40"/>
        <v>7.1</v>
      </c>
      <c r="L520" t="str">
        <f t="shared" si="41"/>
        <v>High</v>
      </c>
      <c r="M520" t="str">
        <f t="shared" si="42"/>
        <v>Low</v>
      </c>
      <c r="N520" t="str">
        <f t="shared" si="43"/>
        <v>PIP</v>
      </c>
      <c r="O520" t="str">
        <f t="shared" ca="1" si="44"/>
        <v>Not Eligible</v>
      </c>
    </row>
    <row r="521" spans="1:15" x14ac:dyDescent="0.25">
      <c r="A521" t="s">
        <v>38</v>
      </c>
      <c r="B521">
        <v>40</v>
      </c>
      <c r="C521">
        <v>70000</v>
      </c>
      <c r="D521" t="s">
        <v>26</v>
      </c>
      <c r="E521" t="s">
        <v>15</v>
      </c>
      <c r="F521" t="s">
        <v>31</v>
      </c>
      <c r="G521" s="1">
        <v>43549</v>
      </c>
      <c r="H521" s="1" t="s">
        <v>17</v>
      </c>
      <c r="I521" s="1" t="s">
        <v>44</v>
      </c>
      <c r="J521" s="1" t="s">
        <v>44</v>
      </c>
      <c r="K521" s="4">
        <f t="shared" ca="1" si="40"/>
        <v>7.1</v>
      </c>
      <c r="L521" t="str">
        <f t="shared" si="41"/>
        <v>High</v>
      </c>
      <c r="M521" t="str">
        <f t="shared" si="42"/>
        <v>Low</v>
      </c>
      <c r="N521" t="str">
        <f t="shared" si="43"/>
        <v>PIP</v>
      </c>
      <c r="O521" t="str">
        <f t="shared" ca="1" si="44"/>
        <v>Not Eligible</v>
      </c>
    </row>
    <row r="522" spans="1:15" x14ac:dyDescent="0.25">
      <c r="A522" t="s">
        <v>38</v>
      </c>
      <c r="B522">
        <v>50</v>
      </c>
      <c r="C522">
        <v>60216</v>
      </c>
      <c r="D522" t="s">
        <v>14</v>
      </c>
      <c r="E522" t="s">
        <v>15</v>
      </c>
      <c r="F522" t="s">
        <v>11</v>
      </c>
      <c r="G522" s="1">
        <v>43549</v>
      </c>
      <c r="H522" s="1" t="s">
        <v>21</v>
      </c>
      <c r="I522" s="1" t="s">
        <v>44</v>
      </c>
      <c r="J522" s="1" t="s">
        <v>19</v>
      </c>
      <c r="K522" s="4">
        <f t="shared" ca="1" si="40"/>
        <v>7.1</v>
      </c>
      <c r="L522" t="str">
        <f t="shared" si="41"/>
        <v>Medium</v>
      </c>
      <c r="M522" t="str">
        <f t="shared" si="42"/>
        <v>Medium</v>
      </c>
      <c r="N522" t="str">
        <f t="shared" si="43"/>
        <v>No PIP</v>
      </c>
      <c r="O522" t="str">
        <f t="shared" ca="1" si="44"/>
        <v>Not Eligible</v>
      </c>
    </row>
    <row r="523" spans="1:15" x14ac:dyDescent="0.25">
      <c r="A523" t="s">
        <v>35</v>
      </c>
      <c r="B523">
        <v>30</v>
      </c>
      <c r="C523">
        <v>60216</v>
      </c>
      <c r="D523" t="s">
        <v>26</v>
      </c>
      <c r="E523" t="s">
        <v>15</v>
      </c>
      <c r="F523" t="s">
        <v>31</v>
      </c>
      <c r="G523" s="1">
        <v>43549</v>
      </c>
      <c r="H523" s="1" t="s">
        <v>21</v>
      </c>
      <c r="I523" s="1" t="s">
        <v>25</v>
      </c>
      <c r="J523" s="1" t="s">
        <v>22</v>
      </c>
      <c r="K523" s="4">
        <f t="shared" ca="1" si="40"/>
        <v>7.1</v>
      </c>
      <c r="L523" t="str">
        <f t="shared" si="41"/>
        <v>Medium</v>
      </c>
      <c r="M523" t="str">
        <f t="shared" si="42"/>
        <v>Medium</v>
      </c>
      <c r="N523" t="str">
        <f t="shared" si="43"/>
        <v>No PIP</v>
      </c>
      <c r="O523" t="str">
        <f t="shared" ca="1" si="44"/>
        <v>Not Eligible</v>
      </c>
    </row>
    <row r="524" spans="1:15" x14ac:dyDescent="0.25">
      <c r="A524" t="s">
        <v>37</v>
      </c>
      <c r="B524">
        <v>25</v>
      </c>
      <c r="C524">
        <v>60216</v>
      </c>
      <c r="D524" t="s">
        <v>14</v>
      </c>
      <c r="E524" t="s">
        <v>23</v>
      </c>
      <c r="F524" t="s">
        <v>30</v>
      </c>
      <c r="G524" s="1">
        <v>43549</v>
      </c>
      <c r="H524" s="1" t="s">
        <v>24</v>
      </c>
      <c r="I524" s="1" t="s">
        <v>18</v>
      </c>
      <c r="J524" s="1" t="s">
        <v>32</v>
      </c>
      <c r="K524" s="4">
        <f t="shared" ca="1" si="40"/>
        <v>7.1</v>
      </c>
      <c r="L524" t="str">
        <f t="shared" si="41"/>
        <v>Medium</v>
      </c>
      <c r="M524" t="str">
        <f t="shared" si="42"/>
        <v>High</v>
      </c>
      <c r="N524" t="str">
        <f t="shared" si="43"/>
        <v>No PIP</v>
      </c>
      <c r="O524" t="str">
        <f t="shared" ca="1" si="44"/>
        <v>Eligible</v>
      </c>
    </row>
    <row r="525" spans="1:15" x14ac:dyDescent="0.25">
      <c r="A525" t="s">
        <v>38</v>
      </c>
      <c r="B525">
        <v>25</v>
      </c>
      <c r="C525">
        <v>55000</v>
      </c>
      <c r="D525" t="s">
        <v>14</v>
      </c>
      <c r="E525" t="s">
        <v>23</v>
      </c>
      <c r="F525" t="s">
        <v>16</v>
      </c>
      <c r="G525" s="1">
        <v>43549</v>
      </c>
      <c r="H525" s="1" t="s">
        <v>21</v>
      </c>
      <c r="I525" s="1" t="s">
        <v>13</v>
      </c>
      <c r="J525" s="1" t="s">
        <v>44</v>
      </c>
      <c r="K525" s="4">
        <f t="shared" ca="1" si="40"/>
        <v>7.1</v>
      </c>
      <c r="L525" t="str">
        <f t="shared" si="41"/>
        <v>Low</v>
      </c>
      <c r="M525" t="str">
        <f t="shared" si="42"/>
        <v>Medium</v>
      </c>
      <c r="N525" t="str">
        <f t="shared" si="43"/>
        <v>No PIP</v>
      </c>
      <c r="O525" t="str">
        <f t="shared" ca="1" si="44"/>
        <v>Not Eligible</v>
      </c>
    </row>
    <row r="526" spans="1:15" x14ac:dyDescent="0.25">
      <c r="A526" t="s">
        <v>41</v>
      </c>
      <c r="B526">
        <v>50</v>
      </c>
      <c r="C526">
        <v>70000</v>
      </c>
      <c r="D526" t="s">
        <v>26</v>
      </c>
      <c r="E526" t="s">
        <v>20</v>
      </c>
      <c r="F526" t="s">
        <v>28</v>
      </c>
      <c r="G526" s="1">
        <v>43549</v>
      </c>
      <c r="H526" s="1" t="s">
        <v>29</v>
      </c>
      <c r="I526" s="1" t="s">
        <v>44</v>
      </c>
      <c r="J526" s="1" t="s">
        <v>22</v>
      </c>
      <c r="K526" s="4">
        <f t="shared" ca="1" si="40"/>
        <v>7.1</v>
      </c>
      <c r="L526" t="str">
        <f t="shared" si="41"/>
        <v>High</v>
      </c>
      <c r="M526" t="str">
        <f t="shared" si="42"/>
        <v>Medium</v>
      </c>
      <c r="N526" t="str">
        <f t="shared" si="43"/>
        <v>No PIP</v>
      </c>
      <c r="O526" t="str">
        <f t="shared" ca="1" si="44"/>
        <v>Not Eligible</v>
      </c>
    </row>
    <row r="527" spans="1:15" x14ac:dyDescent="0.25">
      <c r="A527" t="s">
        <v>37</v>
      </c>
      <c r="B527">
        <v>50</v>
      </c>
      <c r="C527">
        <v>55000</v>
      </c>
      <c r="D527" t="s">
        <v>14</v>
      </c>
      <c r="E527" t="s">
        <v>10</v>
      </c>
      <c r="F527" t="s">
        <v>30</v>
      </c>
      <c r="G527" s="1">
        <v>43549</v>
      </c>
      <c r="H527" s="1" t="s">
        <v>21</v>
      </c>
      <c r="I527" s="1" t="s">
        <v>44</v>
      </c>
      <c r="J527" s="1" t="s">
        <v>44</v>
      </c>
      <c r="K527" s="4">
        <f t="shared" ca="1" si="40"/>
        <v>7.1</v>
      </c>
      <c r="L527" t="str">
        <f t="shared" si="41"/>
        <v>Low</v>
      </c>
      <c r="M527" t="str">
        <f t="shared" si="42"/>
        <v>Medium</v>
      </c>
      <c r="N527" t="str">
        <f t="shared" si="43"/>
        <v>No PIP</v>
      </c>
      <c r="O527" t="str">
        <f t="shared" ca="1" si="44"/>
        <v>Not Eligible</v>
      </c>
    </row>
    <row r="528" spans="1:15" x14ac:dyDescent="0.25">
      <c r="A528" t="s">
        <v>37</v>
      </c>
      <c r="B528">
        <v>25</v>
      </c>
      <c r="C528">
        <v>70000</v>
      </c>
      <c r="D528" t="s">
        <v>14</v>
      </c>
      <c r="E528" t="s">
        <v>15</v>
      </c>
      <c r="F528" t="s">
        <v>16</v>
      </c>
      <c r="G528" s="1">
        <v>43549</v>
      </c>
      <c r="H528" s="1" t="s">
        <v>21</v>
      </c>
      <c r="I528" s="1" t="s">
        <v>18</v>
      </c>
      <c r="J528" s="1" t="s">
        <v>32</v>
      </c>
      <c r="K528" s="4">
        <f t="shared" ca="1" si="40"/>
        <v>7.1</v>
      </c>
      <c r="L528" t="str">
        <f t="shared" si="41"/>
        <v>High</v>
      </c>
      <c r="M528" t="str">
        <f t="shared" si="42"/>
        <v>Medium</v>
      </c>
      <c r="N528" t="str">
        <f t="shared" si="43"/>
        <v>No PIP</v>
      </c>
      <c r="O528" t="str">
        <f t="shared" ca="1" si="44"/>
        <v>Not Eligible</v>
      </c>
    </row>
    <row r="529" spans="1:15" x14ac:dyDescent="0.25">
      <c r="A529" t="s">
        <v>42</v>
      </c>
      <c r="B529">
        <v>30</v>
      </c>
      <c r="C529">
        <v>70000</v>
      </c>
      <c r="D529" t="s">
        <v>14</v>
      </c>
      <c r="E529" t="s">
        <v>10</v>
      </c>
      <c r="F529" t="s">
        <v>16</v>
      </c>
      <c r="G529" s="1">
        <v>43549</v>
      </c>
      <c r="H529" s="1" t="s">
        <v>21</v>
      </c>
      <c r="I529" s="1" t="s">
        <v>18</v>
      </c>
      <c r="J529" s="1" t="s">
        <v>44</v>
      </c>
      <c r="K529" s="4">
        <f t="shared" ca="1" si="40"/>
        <v>7.1</v>
      </c>
      <c r="L529" t="str">
        <f t="shared" si="41"/>
        <v>High</v>
      </c>
      <c r="M529" t="str">
        <f t="shared" si="42"/>
        <v>Medium</v>
      </c>
      <c r="N529" t="str">
        <f t="shared" si="43"/>
        <v>No PIP</v>
      </c>
      <c r="O529" t="str">
        <f t="shared" ca="1" si="44"/>
        <v>Not Eligible</v>
      </c>
    </row>
    <row r="530" spans="1:15" x14ac:dyDescent="0.25">
      <c r="A530" t="s">
        <v>36</v>
      </c>
      <c r="B530">
        <v>25</v>
      </c>
      <c r="C530">
        <v>65000</v>
      </c>
      <c r="D530" t="s">
        <v>9</v>
      </c>
      <c r="E530" t="s">
        <v>10</v>
      </c>
      <c r="F530" t="s">
        <v>30</v>
      </c>
      <c r="G530" s="1">
        <v>43549</v>
      </c>
      <c r="H530" s="1" t="s">
        <v>29</v>
      </c>
      <c r="I530" s="1" t="s">
        <v>13</v>
      </c>
      <c r="J530" s="1" t="s">
        <v>32</v>
      </c>
      <c r="K530" s="4">
        <f t="shared" ca="1" si="40"/>
        <v>7.1</v>
      </c>
      <c r="L530" t="str">
        <f t="shared" si="41"/>
        <v>High</v>
      </c>
      <c r="M530" t="str">
        <f t="shared" si="42"/>
        <v>Medium</v>
      </c>
      <c r="N530" t="str">
        <f t="shared" si="43"/>
        <v>No PIP</v>
      </c>
      <c r="O530" t="str">
        <f t="shared" ca="1" si="44"/>
        <v>Not Eligible</v>
      </c>
    </row>
    <row r="531" spans="1:15" x14ac:dyDescent="0.25">
      <c r="A531" t="s">
        <v>42</v>
      </c>
      <c r="B531">
        <v>35</v>
      </c>
      <c r="C531">
        <v>70000</v>
      </c>
      <c r="D531" t="s">
        <v>26</v>
      </c>
      <c r="E531" t="s">
        <v>23</v>
      </c>
      <c r="F531" t="s">
        <v>16</v>
      </c>
      <c r="G531" s="1">
        <v>43549</v>
      </c>
      <c r="H531" s="1" t="s">
        <v>12</v>
      </c>
      <c r="I531" s="1" t="s">
        <v>25</v>
      </c>
      <c r="J531" s="1" t="s">
        <v>44</v>
      </c>
      <c r="K531" s="4">
        <f t="shared" ca="1" si="40"/>
        <v>7.1</v>
      </c>
      <c r="L531" t="str">
        <f t="shared" si="41"/>
        <v>High</v>
      </c>
      <c r="M531" t="str">
        <f t="shared" si="42"/>
        <v>Low</v>
      </c>
      <c r="N531" t="str">
        <f t="shared" si="43"/>
        <v>PIP</v>
      </c>
      <c r="O531" t="str">
        <f t="shared" ca="1" si="44"/>
        <v>Not Eligible</v>
      </c>
    </row>
    <row r="532" spans="1:15" x14ac:dyDescent="0.25">
      <c r="A532" t="s">
        <v>42</v>
      </c>
      <c r="B532">
        <v>40</v>
      </c>
      <c r="C532">
        <v>55000</v>
      </c>
      <c r="D532" t="s">
        <v>9</v>
      </c>
      <c r="E532" t="s">
        <v>20</v>
      </c>
      <c r="F532" t="s">
        <v>30</v>
      </c>
      <c r="G532" s="1">
        <v>43549</v>
      </c>
      <c r="H532" s="1" t="s">
        <v>24</v>
      </c>
      <c r="I532" s="1" t="s">
        <v>44</v>
      </c>
      <c r="J532" s="1" t="s">
        <v>22</v>
      </c>
      <c r="K532" s="4">
        <f t="shared" ca="1" si="40"/>
        <v>7.1</v>
      </c>
      <c r="L532" t="str">
        <f t="shared" si="41"/>
        <v>Low</v>
      </c>
      <c r="M532" t="str">
        <f t="shared" si="42"/>
        <v>High</v>
      </c>
      <c r="N532" t="str">
        <f t="shared" si="43"/>
        <v>No PIP</v>
      </c>
      <c r="O532" t="str">
        <f t="shared" ca="1" si="44"/>
        <v>Eligible</v>
      </c>
    </row>
    <row r="533" spans="1:15" x14ac:dyDescent="0.25">
      <c r="A533" t="s">
        <v>35</v>
      </c>
      <c r="B533">
        <v>35</v>
      </c>
      <c r="C533">
        <v>60216</v>
      </c>
      <c r="D533" t="s">
        <v>14</v>
      </c>
      <c r="E533" t="s">
        <v>15</v>
      </c>
      <c r="F533" t="s">
        <v>31</v>
      </c>
      <c r="G533" s="1">
        <v>43549</v>
      </c>
      <c r="H533" s="1" t="s">
        <v>17</v>
      </c>
      <c r="I533" s="1" t="s">
        <v>25</v>
      </c>
      <c r="J533" s="1" t="s">
        <v>44</v>
      </c>
      <c r="K533" s="4">
        <f t="shared" ca="1" si="40"/>
        <v>7.1</v>
      </c>
      <c r="L533" t="str">
        <f t="shared" si="41"/>
        <v>Medium</v>
      </c>
      <c r="M533" t="str">
        <f t="shared" si="42"/>
        <v>Low</v>
      </c>
      <c r="N533" t="str">
        <f t="shared" si="43"/>
        <v>PIP</v>
      </c>
      <c r="O533" t="str">
        <f t="shared" ca="1" si="44"/>
        <v>Not Eligible</v>
      </c>
    </row>
    <row r="534" spans="1:15" x14ac:dyDescent="0.25">
      <c r="A534" t="s">
        <v>36</v>
      </c>
      <c r="B534">
        <v>35</v>
      </c>
      <c r="C534">
        <v>70000</v>
      </c>
      <c r="D534" t="s">
        <v>26</v>
      </c>
      <c r="E534" t="s">
        <v>27</v>
      </c>
      <c r="F534" t="s">
        <v>16</v>
      </c>
      <c r="G534" s="1">
        <v>43549</v>
      </c>
      <c r="H534" s="1" t="s">
        <v>24</v>
      </c>
      <c r="I534" s="1" t="s">
        <v>25</v>
      </c>
      <c r="J534" s="1" t="s">
        <v>44</v>
      </c>
      <c r="K534" s="4">
        <f t="shared" ca="1" si="40"/>
        <v>7.1</v>
      </c>
      <c r="L534" t="str">
        <f t="shared" si="41"/>
        <v>High</v>
      </c>
      <c r="M534" t="str">
        <f t="shared" si="42"/>
        <v>High</v>
      </c>
      <c r="N534" t="str">
        <f t="shared" si="43"/>
        <v>No PIP</v>
      </c>
      <c r="O534" t="str">
        <f t="shared" ca="1" si="44"/>
        <v>Eligible</v>
      </c>
    </row>
    <row r="535" spans="1:15" x14ac:dyDescent="0.25">
      <c r="A535" t="s">
        <v>42</v>
      </c>
      <c r="B535">
        <v>25</v>
      </c>
      <c r="C535">
        <v>50000</v>
      </c>
      <c r="D535" t="s">
        <v>14</v>
      </c>
      <c r="E535" t="s">
        <v>23</v>
      </c>
      <c r="F535" t="s">
        <v>30</v>
      </c>
      <c r="G535" s="1">
        <v>43549</v>
      </c>
      <c r="H535" s="1" t="s">
        <v>29</v>
      </c>
      <c r="I535" s="1" t="s">
        <v>13</v>
      </c>
      <c r="J535" s="1" t="s">
        <v>44</v>
      </c>
      <c r="K535" s="4">
        <f t="shared" ca="1" si="40"/>
        <v>7.1</v>
      </c>
      <c r="L535" t="str">
        <f t="shared" si="41"/>
        <v>Low</v>
      </c>
      <c r="M535" t="str">
        <f t="shared" si="42"/>
        <v>Medium</v>
      </c>
      <c r="N535" t="str">
        <f t="shared" si="43"/>
        <v>No PIP</v>
      </c>
      <c r="O535" t="str">
        <f t="shared" ca="1" si="44"/>
        <v>Not Eligible</v>
      </c>
    </row>
    <row r="536" spans="1:15" x14ac:dyDescent="0.25">
      <c r="A536" t="s">
        <v>39</v>
      </c>
      <c r="B536">
        <v>35</v>
      </c>
      <c r="C536">
        <v>70000</v>
      </c>
      <c r="D536" t="s">
        <v>14</v>
      </c>
      <c r="E536" t="s">
        <v>27</v>
      </c>
      <c r="F536" t="s">
        <v>16</v>
      </c>
      <c r="G536" s="1">
        <v>43549</v>
      </c>
      <c r="H536" s="1" t="s">
        <v>17</v>
      </c>
      <c r="I536" s="1" t="s">
        <v>25</v>
      </c>
      <c r="J536" s="1" t="s">
        <v>19</v>
      </c>
      <c r="K536" s="4">
        <f t="shared" ca="1" si="40"/>
        <v>7.1</v>
      </c>
      <c r="L536" t="str">
        <f t="shared" si="41"/>
        <v>High</v>
      </c>
      <c r="M536" t="str">
        <f t="shared" si="42"/>
        <v>Low</v>
      </c>
      <c r="N536" t="str">
        <f t="shared" si="43"/>
        <v>PIP</v>
      </c>
      <c r="O536" t="str">
        <f t="shared" ca="1" si="44"/>
        <v>Not Eligible</v>
      </c>
    </row>
    <row r="537" spans="1:15" x14ac:dyDescent="0.25">
      <c r="A537" t="s">
        <v>34</v>
      </c>
      <c r="B537">
        <v>35</v>
      </c>
      <c r="C537">
        <v>55000</v>
      </c>
      <c r="D537" t="s">
        <v>26</v>
      </c>
      <c r="E537" t="s">
        <v>23</v>
      </c>
      <c r="F537" t="s">
        <v>16</v>
      </c>
      <c r="G537" s="1">
        <v>43549</v>
      </c>
      <c r="H537" s="1" t="s">
        <v>17</v>
      </c>
      <c r="I537" s="1" t="s">
        <v>44</v>
      </c>
      <c r="J537" s="1" t="s">
        <v>32</v>
      </c>
      <c r="K537" s="4">
        <f t="shared" ca="1" si="40"/>
        <v>7.1</v>
      </c>
      <c r="L537" t="str">
        <f t="shared" si="41"/>
        <v>Low</v>
      </c>
      <c r="M537" t="str">
        <f t="shared" si="42"/>
        <v>Low</v>
      </c>
      <c r="N537" t="str">
        <f t="shared" si="43"/>
        <v>PIP</v>
      </c>
      <c r="O537" t="str">
        <f t="shared" ca="1" si="44"/>
        <v>Not Eligible</v>
      </c>
    </row>
    <row r="538" spans="1:15" x14ac:dyDescent="0.25">
      <c r="A538" t="s">
        <v>37</v>
      </c>
      <c r="B538">
        <v>40</v>
      </c>
      <c r="C538">
        <v>60000</v>
      </c>
      <c r="D538" t="s">
        <v>9</v>
      </c>
      <c r="E538" t="s">
        <v>23</v>
      </c>
      <c r="F538" t="s">
        <v>11</v>
      </c>
      <c r="G538" s="1">
        <v>43549</v>
      </c>
      <c r="H538" s="1" t="s">
        <v>21</v>
      </c>
      <c r="I538" s="1" t="s">
        <v>25</v>
      </c>
      <c r="J538" s="1" t="s">
        <v>19</v>
      </c>
      <c r="K538" s="4">
        <f t="shared" ca="1" si="40"/>
        <v>7.1</v>
      </c>
      <c r="L538" t="str">
        <f t="shared" si="41"/>
        <v>Medium</v>
      </c>
      <c r="M538" t="str">
        <f t="shared" si="42"/>
        <v>Medium</v>
      </c>
      <c r="N538" t="str">
        <f t="shared" si="43"/>
        <v>No PIP</v>
      </c>
      <c r="O538" t="str">
        <f t="shared" ca="1" si="44"/>
        <v>Not Eligible</v>
      </c>
    </row>
    <row r="539" spans="1:15" x14ac:dyDescent="0.25">
      <c r="A539" t="s">
        <v>37</v>
      </c>
      <c r="B539">
        <v>35</v>
      </c>
      <c r="C539">
        <v>60000</v>
      </c>
      <c r="D539" t="s">
        <v>9</v>
      </c>
      <c r="E539" t="s">
        <v>27</v>
      </c>
      <c r="F539" t="s">
        <v>16</v>
      </c>
      <c r="G539" s="1">
        <v>43549</v>
      </c>
      <c r="H539" s="1" t="s">
        <v>29</v>
      </c>
      <c r="I539" s="1" t="s">
        <v>13</v>
      </c>
      <c r="J539" s="1" t="s">
        <v>22</v>
      </c>
      <c r="K539" s="4">
        <f t="shared" ca="1" si="40"/>
        <v>7.1</v>
      </c>
      <c r="L539" t="str">
        <f t="shared" si="41"/>
        <v>Medium</v>
      </c>
      <c r="M539" t="str">
        <f t="shared" si="42"/>
        <v>Medium</v>
      </c>
      <c r="N539" t="str">
        <f t="shared" si="43"/>
        <v>No PIP</v>
      </c>
      <c r="O539" t="str">
        <f t="shared" ca="1" si="44"/>
        <v>Not Eligible</v>
      </c>
    </row>
    <row r="540" spans="1:15" x14ac:dyDescent="0.25">
      <c r="A540" t="s">
        <v>40</v>
      </c>
      <c r="B540">
        <v>35</v>
      </c>
      <c r="C540">
        <v>65000</v>
      </c>
      <c r="D540" t="s">
        <v>26</v>
      </c>
      <c r="E540" t="s">
        <v>23</v>
      </c>
      <c r="F540" t="s">
        <v>31</v>
      </c>
      <c r="G540" s="1">
        <v>43549</v>
      </c>
      <c r="H540" s="1" t="s">
        <v>12</v>
      </c>
      <c r="I540" s="1" t="s">
        <v>18</v>
      </c>
      <c r="J540" s="1" t="s">
        <v>32</v>
      </c>
      <c r="K540" s="4">
        <f t="shared" ca="1" si="40"/>
        <v>7.1</v>
      </c>
      <c r="L540" t="str">
        <f t="shared" si="41"/>
        <v>High</v>
      </c>
      <c r="M540" t="str">
        <f t="shared" si="42"/>
        <v>Low</v>
      </c>
      <c r="N540" t="str">
        <f t="shared" si="43"/>
        <v>PIP</v>
      </c>
      <c r="O540" t="str">
        <f t="shared" ca="1" si="44"/>
        <v>Not Eligible</v>
      </c>
    </row>
    <row r="541" spans="1:15" x14ac:dyDescent="0.25">
      <c r="A541" t="s">
        <v>39</v>
      </c>
      <c r="B541">
        <v>25</v>
      </c>
      <c r="C541">
        <v>60000</v>
      </c>
      <c r="D541" t="s">
        <v>26</v>
      </c>
      <c r="E541" t="s">
        <v>27</v>
      </c>
      <c r="F541" t="s">
        <v>31</v>
      </c>
      <c r="G541" s="1">
        <v>43549</v>
      </c>
      <c r="H541" s="1" t="s">
        <v>17</v>
      </c>
      <c r="I541" s="1" t="s">
        <v>18</v>
      </c>
      <c r="J541" s="1" t="s">
        <v>32</v>
      </c>
      <c r="K541" s="4">
        <f t="shared" ca="1" si="40"/>
        <v>7.1</v>
      </c>
      <c r="L541" t="str">
        <f t="shared" si="41"/>
        <v>Medium</v>
      </c>
      <c r="M541" t="str">
        <f t="shared" si="42"/>
        <v>Low</v>
      </c>
      <c r="N541" t="str">
        <f t="shared" si="43"/>
        <v>PIP</v>
      </c>
      <c r="O541" t="str">
        <f t="shared" ca="1" si="44"/>
        <v>Not Eligible</v>
      </c>
    </row>
    <row r="542" spans="1:15" x14ac:dyDescent="0.25">
      <c r="A542" t="s">
        <v>36</v>
      </c>
      <c r="B542">
        <v>50</v>
      </c>
      <c r="C542">
        <v>70000</v>
      </c>
      <c r="D542" t="s">
        <v>9</v>
      </c>
      <c r="E542" t="s">
        <v>10</v>
      </c>
      <c r="F542" t="s">
        <v>30</v>
      </c>
      <c r="G542" s="1">
        <v>43549</v>
      </c>
      <c r="H542" s="1" t="s">
        <v>29</v>
      </c>
      <c r="I542" s="1" t="s">
        <v>44</v>
      </c>
      <c r="J542" s="1" t="s">
        <v>19</v>
      </c>
      <c r="K542" s="4">
        <f t="shared" ca="1" si="40"/>
        <v>7.1</v>
      </c>
      <c r="L542" t="str">
        <f t="shared" si="41"/>
        <v>High</v>
      </c>
      <c r="M542" t="str">
        <f t="shared" si="42"/>
        <v>Medium</v>
      </c>
      <c r="N542" t="str">
        <f t="shared" si="43"/>
        <v>No PIP</v>
      </c>
      <c r="O542" t="str">
        <f t="shared" ca="1" si="44"/>
        <v>Not Eligible</v>
      </c>
    </row>
    <row r="543" spans="1:15" x14ac:dyDescent="0.25">
      <c r="A543" t="s">
        <v>39</v>
      </c>
      <c r="B543">
        <v>35</v>
      </c>
      <c r="C543">
        <v>60216</v>
      </c>
      <c r="D543" t="s">
        <v>9</v>
      </c>
      <c r="E543" t="s">
        <v>15</v>
      </c>
      <c r="F543" t="s">
        <v>31</v>
      </c>
      <c r="G543" s="1">
        <v>43549</v>
      </c>
      <c r="H543" s="1" t="s">
        <v>17</v>
      </c>
      <c r="I543" s="1" t="s">
        <v>44</v>
      </c>
      <c r="J543" s="1" t="s">
        <v>22</v>
      </c>
      <c r="K543" s="4">
        <f t="shared" ca="1" si="40"/>
        <v>7.1</v>
      </c>
      <c r="L543" t="str">
        <f t="shared" si="41"/>
        <v>Medium</v>
      </c>
      <c r="M543" t="str">
        <f t="shared" si="42"/>
        <v>Low</v>
      </c>
      <c r="N543" t="str">
        <f t="shared" si="43"/>
        <v>PIP</v>
      </c>
      <c r="O543" t="str">
        <f t="shared" ca="1" si="44"/>
        <v>Not Eligible</v>
      </c>
    </row>
    <row r="544" spans="1:15" x14ac:dyDescent="0.25">
      <c r="A544" t="s">
        <v>41</v>
      </c>
      <c r="B544">
        <v>35</v>
      </c>
      <c r="C544">
        <v>50000</v>
      </c>
      <c r="D544" t="s">
        <v>26</v>
      </c>
      <c r="E544" t="s">
        <v>10</v>
      </c>
      <c r="F544" t="s">
        <v>28</v>
      </c>
      <c r="G544" s="1">
        <v>43549</v>
      </c>
      <c r="H544" s="1" t="s">
        <v>17</v>
      </c>
      <c r="I544" s="1" t="s">
        <v>44</v>
      </c>
      <c r="J544" s="1" t="s">
        <v>44</v>
      </c>
      <c r="K544" s="4">
        <f t="shared" ca="1" si="40"/>
        <v>7.1</v>
      </c>
      <c r="L544" t="str">
        <f t="shared" si="41"/>
        <v>Low</v>
      </c>
      <c r="M544" t="str">
        <f t="shared" si="42"/>
        <v>Low</v>
      </c>
      <c r="N544" t="str">
        <f t="shared" si="43"/>
        <v>PIP</v>
      </c>
      <c r="O544" t="str">
        <f t="shared" ca="1" si="44"/>
        <v>Not Eligible</v>
      </c>
    </row>
    <row r="545" spans="1:15" x14ac:dyDescent="0.25">
      <c r="A545" t="s">
        <v>34</v>
      </c>
      <c r="B545">
        <v>35</v>
      </c>
      <c r="C545">
        <v>55000</v>
      </c>
      <c r="D545" t="s">
        <v>14</v>
      </c>
      <c r="E545" t="s">
        <v>10</v>
      </c>
      <c r="F545" t="s">
        <v>16</v>
      </c>
      <c r="G545" s="1">
        <v>43549</v>
      </c>
      <c r="H545" s="1" t="s">
        <v>29</v>
      </c>
      <c r="I545" s="1" t="s">
        <v>18</v>
      </c>
      <c r="J545" s="1" t="s">
        <v>19</v>
      </c>
      <c r="K545" s="4">
        <f t="shared" ca="1" si="40"/>
        <v>7.1</v>
      </c>
      <c r="L545" t="str">
        <f t="shared" si="41"/>
        <v>Low</v>
      </c>
      <c r="M545" t="str">
        <f t="shared" si="42"/>
        <v>Medium</v>
      </c>
      <c r="N545" t="str">
        <f t="shared" si="43"/>
        <v>No PIP</v>
      </c>
      <c r="O545" t="str">
        <f t="shared" ca="1" si="44"/>
        <v>Not Eligible</v>
      </c>
    </row>
    <row r="546" spans="1:15" x14ac:dyDescent="0.25">
      <c r="A546" t="s">
        <v>35</v>
      </c>
      <c r="B546">
        <v>25</v>
      </c>
      <c r="C546">
        <v>70000</v>
      </c>
      <c r="D546" t="s">
        <v>14</v>
      </c>
      <c r="E546" t="s">
        <v>10</v>
      </c>
      <c r="F546" t="s">
        <v>31</v>
      </c>
      <c r="G546" s="1">
        <v>43549</v>
      </c>
      <c r="H546" s="1" t="s">
        <v>24</v>
      </c>
      <c r="I546" s="1" t="s">
        <v>44</v>
      </c>
      <c r="J546" s="1" t="s">
        <v>22</v>
      </c>
      <c r="K546" s="4">
        <f t="shared" ca="1" si="40"/>
        <v>7.1</v>
      </c>
      <c r="L546" t="str">
        <f t="shared" si="41"/>
        <v>High</v>
      </c>
      <c r="M546" t="str">
        <f t="shared" si="42"/>
        <v>High</v>
      </c>
      <c r="N546" t="str">
        <f t="shared" si="43"/>
        <v>No PIP</v>
      </c>
      <c r="O546" t="str">
        <f t="shared" ca="1" si="44"/>
        <v>Eligible</v>
      </c>
    </row>
    <row r="547" spans="1:15" x14ac:dyDescent="0.25">
      <c r="A547" t="s">
        <v>33</v>
      </c>
      <c r="B547">
        <v>25</v>
      </c>
      <c r="C547">
        <v>65000</v>
      </c>
      <c r="D547" t="s">
        <v>26</v>
      </c>
      <c r="E547" t="s">
        <v>23</v>
      </c>
      <c r="F547" t="s">
        <v>30</v>
      </c>
      <c r="G547" s="1">
        <v>43549</v>
      </c>
      <c r="H547" s="1" t="s">
        <v>21</v>
      </c>
      <c r="I547" s="1" t="s">
        <v>13</v>
      </c>
      <c r="J547" s="1" t="s">
        <v>44</v>
      </c>
      <c r="K547" s="4">
        <f t="shared" ca="1" si="40"/>
        <v>7.1</v>
      </c>
      <c r="L547" t="str">
        <f t="shared" si="41"/>
        <v>High</v>
      </c>
      <c r="M547" t="str">
        <f t="shared" si="42"/>
        <v>Medium</v>
      </c>
      <c r="N547" t="str">
        <f t="shared" si="43"/>
        <v>No PIP</v>
      </c>
      <c r="O547" t="str">
        <f t="shared" ca="1" si="44"/>
        <v>Not Eligible</v>
      </c>
    </row>
    <row r="548" spans="1:15" x14ac:dyDescent="0.25">
      <c r="A548" t="s">
        <v>42</v>
      </c>
      <c r="B548">
        <v>40</v>
      </c>
      <c r="C548">
        <v>60216</v>
      </c>
      <c r="D548" t="s">
        <v>26</v>
      </c>
      <c r="E548" t="s">
        <v>23</v>
      </c>
      <c r="F548" t="s">
        <v>28</v>
      </c>
      <c r="G548" s="1">
        <v>43549</v>
      </c>
      <c r="H548" s="1" t="s">
        <v>17</v>
      </c>
      <c r="I548" s="1" t="s">
        <v>13</v>
      </c>
      <c r="J548" s="1" t="s">
        <v>19</v>
      </c>
      <c r="K548" s="4">
        <f t="shared" ca="1" si="40"/>
        <v>7.1</v>
      </c>
      <c r="L548" t="str">
        <f t="shared" si="41"/>
        <v>Medium</v>
      </c>
      <c r="M548" t="str">
        <f t="shared" si="42"/>
        <v>Low</v>
      </c>
      <c r="N548" t="str">
        <f t="shared" si="43"/>
        <v>PIP</v>
      </c>
      <c r="O548" t="str">
        <f t="shared" ca="1" si="44"/>
        <v>Not Eligible</v>
      </c>
    </row>
    <row r="549" spans="1:15" x14ac:dyDescent="0.25">
      <c r="A549" t="s">
        <v>35</v>
      </c>
      <c r="B549">
        <v>35</v>
      </c>
      <c r="C549">
        <v>65000</v>
      </c>
      <c r="D549" t="s">
        <v>26</v>
      </c>
      <c r="E549" t="s">
        <v>27</v>
      </c>
      <c r="F549" t="s">
        <v>28</v>
      </c>
      <c r="G549" s="1">
        <v>43549</v>
      </c>
      <c r="H549" s="1" t="s">
        <v>29</v>
      </c>
      <c r="I549" s="1" t="s">
        <v>25</v>
      </c>
      <c r="J549" s="1" t="s">
        <v>32</v>
      </c>
      <c r="K549" s="4">
        <f t="shared" ca="1" si="40"/>
        <v>7.1</v>
      </c>
      <c r="L549" t="str">
        <f t="shared" si="41"/>
        <v>High</v>
      </c>
      <c r="M549" t="str">
        <f t="shared" si="42"/>
        <v>Medium</v>
      </c>
      <c r="N549" t="str">
        <f t="shared" si="43"/>
        <v>No PIP</v>
      </c>
      <c r="O549" t="str">
        <f t="shared" ca="1" si="44"/>
        <v>Not Eligible</v>
      </c>
    </row>
    <row r="550" spans="1:15" x14ac:dyDescent="0.25">
      <c r="A550" t="s">
        <v>38</v>
      </c>
      <c r="B550">
        <v>35</v>
      </c>
      <c r="C550">
        <v>55000</v>
      </c>
      <c r="D550" t="s">
        <v>9</v>
      </c>
      <c r="E550" t="s">
        <v>10</v>
      </c>
      <c r="F550" t="s">
        <v>30</v>
      </c>
      <c r="G550" s="1">
        <v>43549</v>
      </c>
      <c r="H550" s="1" t="s">
        <v>24</v>
      </c>
      <c r="I550" s="1" t="s">
        <v>25</v>
      </c>
      <c r="J550" s="1" t="s">
        <v>19</v>
      </c>
      <c r="K550" s="4">
        <f t="shared" ca="1" si="40"/>
        <v>7.1</v>
      </c>
      <c r="L550" t="str">
        <f t="shared" si="41"/>
        <v>Low</v>
      </c>
      <c r="M550" t="str">
        <f t="shared" si="42"/>
        <v>High</v>
      </c>
      <c r="N550" t="str">
        <f t="shared" si="43"/>
        <v>No PIP</v>
      </c>
      <c r="O550" t="str">
        <f t="shared" ca="1" si="44"/>
        <v>Eligible</v>
      </c>
    </row>
    <row r="551" spans="1:15" x14ac:dyDescent="0.25">
      <c r="A551" t="s">
        <v>40</v>
      </c>
      <c r="B551">
        <v>35</v>
      </c>
      <c r="C551">
        <v>65000</v>
      </c>
      <c r="D551" t="s">
        <v>14</v>
      </c>
      <c r="E551" t="s">
        <v>23</v>
      </c>
      <c r="F551" t="s">
        <v>16</v>
      </c>
      <c r="G551" s="1">
        <v>43549</v>
      </c>
      <c r="H551" s="1" t="s">
        <v>24</v>
      </c>
      <c r="I551" s="1" t="s">
        <v>44</v>
      </c>
      <c r="J551" s="1" t="s">
        <v>22</v>
      </c>
      <c r="K551" s="4">
        <f t="shared" ca="1" si="40"/>
        <v>7.1</v>
      </c>
      <c r="L551" t="str">
        <f t="shared" si="41"/>
        <v>High</v>
      </c>
      <c r="M551" t="str">
        <f t="shared" si="42"/>
        <v>High</v>
      </c>
      <c r="N551" t="str">
        <f t="shared" si="43"/>
        <v>No PIP</v>
      </c>
      <c r="O551" t="str">
        <f t="shared" ca="1" si="44"/>
        <v>Eligible</v>
      </c>
    </row>
    <row r="552" spans="1:15" x14ac:dyDescent="0.25">
      <c r="A552" t="s">
        <v>37</v>
      </c>
      <c r="B552">
        <v>35</v>
      </c>
      <c r="C552">
        <v>60216</v>
      </c>
      <c r="D552" t="s">
        <v>14</v>
      </c>
      <c r="E552" t="s">
        <v>20</v>
      </c>
      <c r="F552" t="s">
        <v>11</v>
      </c>
      <c r="G552" s="1">
        <v>43549</v>
      </c>
      <c r="H552" s="1" t="s">
        <v>24</v>
      </c>
      <c r="I552" s="1" t="s">
        <v>18</v>
      </c>
      <c r="J552" s="1" t="s">
        <v>22</v>
      </c>
      <c r="K552" s="4">
        <f t="shared" ca="1" si="40"/>
        <v>7.1</v>
      </c>
      <c r="L552" t="str">
        <f t="shared" si="41"/>
        <v>Medium</v>
      </c>
      <c r="M552" t="str">
        <f t="shared" si="42"/>
        <v>High</v>
      </c>
      <c r="N552" t="str">
        <f t="shared" si="43"/>
        <v>No PIP</v>
      </c>
      <c r="O552" t="str">
        <f t="shared" ca="1" si="44"/>
        <v>Eligible</v>
      </c>
    </row>
    <row r="553" spans="1:15" x14ac:dyDescent="0.25">
      <c r="A553" t="s">
        <v>37</v>
      </c>
      <c r="B553">
        <v>40</v>
      </c>
      <c r="C553">
        <v>60000</v>
      </c>
      <c r="D553" t="s">
        <v>9</v>
      </c>
      <c r="E553" t="s">
        <v>27</v>
      </c>
      <c r="F553" t="s">
        <v>31</v>
      </c>
      <c r="G553" s="1">
        <v>43549</v>
      </c>
      <c r="H553" s="1" t="s">
        <v>24</v>
      </c>
      <c r="I553" s="1" t="s">
        <v>13</v>
      </c>
      <c r="J553" s="1" t="s">
        <v>19</v>
      </c>
      <c r="K553" s="4">
        <f t="shared" ca="1" si="40"/>
        <v>7.1</v>
      </c>
      <c r="L553" t="str">
        <f t="shared" si="41"/>
        <v>Medium</v>
      </c>
      <c r="M553" t="str">
        <f t="shared" si="42"/>
        <v>High</v>
      </c>
      <c r="N553" t="str">
        <f t="shared" si="43"/>
        <v>No PIP</v>
      </c>
      <c r="O553" t="str">
        <f t="shared" ca="1" si="44"/>
        <v>Eligible</v>
      </c>
    </row>
    <row r="554" spans="1:15" x14ac:dyDescent="0.25">
      <c r="A554" t="s">
        <v>40</v>
      </c>
      <c r="B554">
        <v>40</v>
      </c>
      <c r="C554">
        <v>60000</v>
      </c>
      <c r="D554" t="s">
        <v>9</v>
      </c>
      <c r="E554" t="s">
        <v>27</v>
      </c>
      <c r="F554" t="s">
        <v>30</v>
      </c>
      <c r="G554" s="1">
        <v>43549</v>
      </c>
      <c r="H554" s="1" t="s">
        <v>29</v>
      </c>
      <c r="I554" s="1" t="s">
        <v>25</v>
      </c>
      <c r="J554" s="1" t="s">
        <v>44</v>
      </c>
      <c r="K554" s="4">
        <f t="shared" ca="1" si="40"/>
        <v>7.1</v>
      </c>
      <c r="L554" t="str">
        <f t="shared" si="41"/>
        <v>Medium</v>
      </c>
      <c r="M554" t="str">
        <f t="shared" si="42"/>
        <v>Medium</v>
      </c>
      <c r="N554" t="str">
        <f t="shared" si="43"/>
        <v>No PIP</v>
      </c>
      <c r="O554" t="str">
        <f t="shared" ca="1" si="44"/>
        <v>Not Eligible</v>
      </c>
    </row>
    <row r="555" spans="1:15" x14ac:dyDescent="0.25">
      <c r="A555" t="s">
        <v>41</v>
      </c>
      <c r="B555">
        <v>30</v>
      </c>
      <c r="C555">
        <v>60000</v>
      </c>
      <c r="D555" t="s">
        <v>9</v>
      </c>
      <c r="E555" t="s">
        <v>10</v>
      </c>
      <c r="F555" t="s">
        <v>16</v>
      </c>
      <c r="G555" s="1">
        <v>43549</v>
      </c>
      <c r="H555" s="1" t="s">
        <v>29</v>
      </c>
      <c r="I555" s="1" t="s">
        <v>44</v>
      </c>
      <c r="J555" s="1" t="s">
        <v>22</v>
      </c>
      <c r="K555" s="4">
        <f t="shared" ca="1" si="40"/>
        <v>7.1</v>
      </c>
      <c r="L555" t="str">
        <f t="shared" si="41"/>
        <v>Medium</v>
      </c>
      <c r="M555" t="str">
        <f t="shared" si="42"/>
        <v>Medium</v>
      </c>
      <c r="N555" t="str">
        <f t="shared" si="43"/>
        <v>No PIP</v>
      </c>
      <c r="O555" t="str">
        <f t="shared" ca="1" si="44"/>
        <v>Not Eligible</v>
      </c>
    </row>
    <row r="556" spans="1:15" x14ac:dyDescent="0.25">
      <c r="A556" t="s">
        <v>40</v>
      </c>
      <c r="B556">
        <v>50</v>
      </c>
      <c r="C556">
        <v>50000</v>
      </c>
      <c r="D556" t="s">
        <v>9</v>
      </c>
      <c r="E556" t="s">
        <v>27</v>
      </c>
      <c r="F556" t="s">
        <v>16</v>
      </c>
      <c r="G556" s="1">
        <v>43549</v>
      </c>
      <c r="H556" s="1" t="s">
        <v>12</v>
      </c>
      <c r="I556" s="1" t="s">
        <v>44</v>
      </c>
      <c r="J556" s="1" t="s">
        <v>44</v>
      </c>
      <c r="K556" s="4">
        <f t="shared" ca="1" si="40"/>
        <v>7.1</v>
      </c>
      <c r="L556" t="str">
        <f t="shared" si="41"/>
        <v>Low</v>
      </c>
      <c r="M556" t="str">
        <f t="shared" si="42"/>
        <v>Low</v>
      </c>
      <c r="N556" t="str">
        <f t="shared" si="43"/>
        <v>PIP</v>
      </c>
      <c r="O556" t="str">
        <f t="shared" ca="1" si="44"/>
        <v>Not Eligible</v>
      </c>
    </row>
    <row r="557" spans="1:15" x14ac:dyDescent="0.25">
      <c r="A557" t="s">
        <v>41</v>
      </c>
      <c r="B557">
        <v>35</v>
      </c>
      <c r="C557">
        <v>50000</v>
      </c>
      <c r="D557" t="s">
        <v>14</v>
      </c>
      <c r="E557" t="s">
        <v>20</v>
      </c>
      <c r="F557" t="s">
        <v>11</v>
      </c>
      <c r="G557" s="1">
        <v>43549</v>
      </c>
      <c r="H557" s="1" t="s">
        <v>17</v>
      </c>
      <c r="I557" s="1" t="s">
        <v>44</v>
      </c>
      <c r="J557" s="1" t="s">
        <v>19</v>
      </c>
      <c r="K557" s="4">
        <f t="shared" ca="1" si="40"/>
        <v>7.1</v>
      </c>
      <c r="L557" t="str">
        <f t="shared" si="41"/>
        <v>Low</v>
      </c>
      <c r="M557" t="str">
        <f t="shared" si="42"/>
        <v>Low</v>
      </c>
      <c r="N557" t="str">
        <f t="shared" si="43"/>
        <v>PIP</v>
      </c>
      <c r="O557" t="str">
        <f t="shared" ca="1" si="44"/>
        <v>Not Eligible</v>
      </c>
    </row>
    <row r="558" spans="1:15" x14ac:dyDescent="0.25">
      <c r="A558" t="s">
        <v>41</v>
      </c>
      <c r="B558">
        <v>25</v>
      </c>
      <c r="C558">
        <v>50000</v>
      </c>
      <c r="D558" t="s">
        <v>14</v>
      </c>
      <c r="E558" t="s">
        <v>23</v>
      </c>
      <c r="F558" t="s">
        <v>31</v>
      </c>
      <c r="G558" s="1">
        <v>43549</v>
      </c>
      <c r="H558" s="1" t="s">
        <v>12</v>
      </c>
      <c r="I558" s="1" t="s">
        <v>44</v>
      </c>
      <c r="J558" s="1" t="s">
        <v>22</v>
      </c>
      <c r="K558" s="4">
        <f t="shared" ca="1" si="40"/>
        <v>7.1</v>
      </c>
      <c r="L558" t="str">
        <f t="shared" si="41"/>
        <v>Low</v>
      </c>
      <c r="M558" t="str">
        <f t="shared" si="42"/>
        <v>Low</v>
      </c>
      <c r="N558" t="str">
        <f t="shared" si="43"/>
        <v>PIP</v>
      </c>
      <c r="O558" t="str">
        <f t="shared" ca="1" si="44"/>
        <v>Not Eligible</v>
      </c>
    </row>
    <row r="559" spans="1:15" x14ac:dyDescent="0.25">
      <c r="A559" t="s">
        <v>33</v>
      </c>
      <c r="B559">
        <v>35</v>
      </c>
      <c r="C559">
        <v>50000</v>
      </c>
      <c r="D559" t="s">
        <v>26</v>
      </c>
      <c r="E559" t="s">
        <v>10</v>
      </c>
      <c r="F559" t="s">
        <v>30</v>
      </c>
      <c r="G559" s="1">
        <v>43549</v>
      </c>
      <c r="H559" s="1" t="s">
        <v>12</v>
      </c>
      <c r="I559" s="1" t="s">
        <v>13</v>
      </c>
      <c r="J559" s="1" t="s">
        <v>44</v>
      </c>
      <c r="K559" s="4">
        <f t="shared" ca="1" si="40"/>
        <v>7.1</v>
      </c>
      <c r="L559" t="str">
        <f t="shared" si="41"/>
        <v>Low</v>
      </c>
      <c r="M559" t="str">
        <f t="shared" si="42"/>
        <v>Low</v>
      </c>
      <c r="N559" t="str">
        <f t="shared" si="43"/>
        <v>PIP</v>
      </c>
      <c r="O559" t="str">
        <f t="shared" ca="1" si="44"/>
        <v>Not Eligible</v>
      </c>
    </row>
    <row r="560" spans="1:15" x14ac:dyDescent="0.25">
      <c r="A560" t="s">
        <v>36</v>
      </c>
      <c r="B560">
        <v>50</v>
      </c>
      <c r="C560">
        <v>55000</v>
      </c>
      <c r="D560" t="s">
        <v>26</v>
      </c>
      <c r="E560" t="s">
        <v>10</v>
      </c>
      <c r="F560" t="s">
        <v>16</v>
      </c>
      <c r="G560" s="1">
        <v>43549</v>
      </c>
      <c r="H560" s="1" t="s">
        <v>12</v>
      </c>
      <c r="I560" s="1" t="s">
        <v>25</v>
      </c>
      <c r="J560" s="1" t="s">
        <v>22</v>
      </c>
      <c r="K560" s="4">
        <f t="shared" ca="1" si="40"/>
        <v>7.1</v>
      </c>
      <c r="L560" t="str">
        <f t="shared" si="41"/>
        <v>Low</v>
      </c>
      <c r="M560" t="str">
        <f t="shared" si="42"/>
        <v>Low</v>
      </c>
      <c r="N560" t="str">
        <f t="shared" si="43"/>
        <v>PIP</v>
      </c>
      <c r="O560" t="str">
        <f t="shared" ca="1" si="44"/>
        <v>Not Eligible</v>
      </c>
    </row>
    <row r="561" spans="1:15" x14ac:dyDescent="0.25">
      <c r="A561" t="s">
        <v>37</v>
      </c>
      <c r="B561">
        <v>35</v>
      </c>
      <c r="C561">
        <v>60000</v>
      </c>
      <c r="D561" t="s">
        <v>9</v>
      </c>
      <c r="E561" t="s">
        <v>23</v>
      </c>
      <c r="F561" t="s">
        <v>11</v>
      </c>
      <c r="G561" s="1">
        <v>43549</v>
      </c>
      <c r="H561" s="1" t="s">
        <v>29</v>
      </c>
      <c r="I561" s="1" t="s">
        <v>13</v>
      </c>
      <c r="J561" s="1" t="s">
        <v>44</v>
      </c>
      <c r="K561" s="4">
        <f t="shared" ca="1" si="40"/>
        <v>7.1</v>
      </c>
      <c r="L561" t="str">
        <f t="shared" si="41"/>
        <v>Medium</v>
      </c>
      <c r="M561" t="str">
        <f t="shared" si="42"/>
        <v>Medium</v>
      </c>
      <c r="N561" t="str">
        <f t="shared" si="43"/>
        <v>No PIP</v>
      </c>
      <c r="O561" t="str">
        <f t="shared" ca="1" si="44"/>
        <v>Not Eligible</v>
      </c>
    </row>
    <row r="562" spans="1:15" x14ac:dyDescent="0.25">
      <c r="A562" t="s">
        <v>37</v>
      </c>
      <c r="B562">
        <v>30</v>
      </c>
      <c r="C562">
        <v>60216</v>
      </c>
      <c r="D562" t="s">
        <v>14</v>
      </c>
      <c r="E562" t="s">
        <v>27</v>
      </c>
      <c r="F562" t="s">
        <v>16</v>
      </c>
      <c r="G562" s="1">
        <v>43549</v>
      </c>
      <c r="H562" s="1" t="s">
        <v>17</v>
      </c>
      <c r="I562" s="1" t="s">
        <v>13</v>
      </c>
      <c r="J562" s="1" t="s">
        <v>32</v>
      </c>
      <c r="K562" s="4">
        <f t="shared" ca="1" si="40"/>
        <v>7.1</v>
      </c>
      <c r="L562" t="str">
        <f t="shared" si="41"/>
        <v>Medium</v>
      </c>
      <c r="M562" t="str">
        <f t="shared" si="42"/>
        <v>Low</v>
      </c>
      <c r="N562" t="str">
        <f t="shared" si="43"/>
        <v>PIP</v>
      </c>
      <c r="O562" t="str">
        <f t="shared" ca="1" si="44"/>
        <v>Not Eligible</v>
      </c>
    </row>
    <row r="563" spans="1:15" x14ac:dyDescent="0.25">
      <c r="A563" t="s">
        <v>39</v>
      </c>
      <c r="B563">
        <v>35</v>
      </c>
      <c r="C563">
        <v>60000</v>
      </c>
      <c r="D563" t="s">
        <v>26</v>
      </c>
      <c r="E563" t="s">
        <v>10</v>
      </c>
      <c r="F563" t="s">
        <v>28</v>
      </c>
      <c r="G563" s="1">
        <v>43549</v>
      </c>
      <c r="H563" s="1" t="s">
        <v>21</v>
      </c>
      <c r="I563" s="1" t="s">
        <v>13</v>
      </c>
      <c r="J563" s="1" t="s">
        <v>19</v>
      </c>
      <c r="K563" s="4">
        <f t="shared" ca="1" si="40"/>
        <v>7.1</v>
      </c>
      <c r="L563" t="str">
        <f t="shared" si="41"/>
        <v>Medium</v>
      </c>
      <c r="M563" t="str">
        <f t="shared" si="42"/>
        <v>Medium</v>
      </c>
      <c r="N563" t="str">
        <f t="shared" si="43"/>
        <v>No PIP</v>
      </c>
      <c r="O563" t="str">
        <f t="shared" ca="1" si="44"/>
        <v>Not Eligible</v>
      </c>
    </row>
    <row r="564" spans="1:15" x14ac:dyDescent="0.25">
      <c r="A564" t="s">
        <v>36</v>
      </c>
      <c r="B564">
        <v>50</v>
      </c>
      <c r="C564">
        <v>65000</v>
      </c>
      <c r="D564" t="s">
        <v>9</v>
      </c>
      <c r="E564" t="s">
        <v>10</v>
      </c>
      <c r="F564" t="s">
        <v>31</v>
      </c>
      <c r="G564" s="1">
        <v>43549</v>
      </c>
      <c r="H564" s="1" t="s">
        <v>21</v>
      </c>
      <c r="I564" s="1" t="s">
        <v>13</v>
      </c>
      <c r="J564" s="1" t="s">
        <v>44</v>
      </c>
      <c r="K564" s="4">
        <f t="shared" ca="1" si="40"/>
        <v>7.1</v>
      </c>
      <c r="L564" t="str">
        <f t="shared" si="41"/>
        <v>High</v>
      </c>
      <c r="M564" t="str">
        <f t="shared" si="42"/>
        <v>Medium</v>
      </c>
      <c r="N564" t="str">
        <f t="shared" si="43"/>
        <v>No PIP</v>
      </c>
      <c r="O564" t="str">
        <f t="shared" ca="1" si="44"/>
        <v>Not Eligible</v>
      </c>
    </row>
    <row r="565" spans="1:15" x14ac:dyDescent="0.25">
      <c r="A565" t="s">
        <v>37</v>
      </c>
      <c r="B565">
        <v>35</v>
      </c>
      <c r="C565">
        <v>60216</v>
      </c>
      <c r="D565" t="s">
        <v>14</v>
      </c>
      <c r="E565" t="s">
        <v>23</v>
      </c>
      <c r="F565" t="s">
        <v>16</v>
      </c>
      <c r="G565" s="1">
        <v>43549</v>
      </c>
      <c r="H565" s="1" t="s">
        <v>29</v>
      </c>
      <c r="I565" s="1" t="s">
        <v>18</v>
      </c>
      <c r="J565" s="1" t="s">
        <v>44</v>
      </c>
      <c r="K565" s="4">
        <f t="shared" ca="1" si="40"/>
        <v>7.1</v>
      </c>
      <c r="L565" t="str">
        <f t="shared" si="41"/>
        <v>Medium</v>
      </c>
      <c r="M565" t="str">
        <f t="shared" si="42"/>
        <v>Medium</v>
      </c>
      <c r="N565" t="str">
        <f t="shared" si="43"/>
        <v>No PIP</v>
      </c>
      <c r="O565" t="str">
        <f t="shared" ca="1" si="44"/>
        <v>Not Eligible</v>
      </c>
    </row>
    <row r="566" spans="1:15" x14ac:dyDescent="0.25">
      <c r="A566" t="s">
        <v>35</v>
      </c>
      <c r="B566">
        <v>40</v>
      </c>
      <c r="C566">
        <v>60000</v>
      </c>
      <c r="D566" t="s">
        <v>26</v>
      </c>
      <c r="E566" t="s">
        <v>27</v>
      </c>
      <c r="F566" t="s">
        <v>28</v>
      </c>
      <c r="G566" s="1">
        <v>43549</v>
      </c>
      <c r="H566" s="1" t="s">
        <v>24</v>
      </c>
      <c r="I566" s="1" t="s">
        <v>44</v>
      </c>
      <c r="J566" s="1" t="s">
        <v>44</v>
      </c>
      <c r="K566" s="4">
        <f t="shared" ca="1" si="40"/>
        <v>7.1</v>
      </c>
      <c r="L566" t="str">
        <f t="shared" si="41"/>
        <v>Medium</v>
      </c>
      <c r="M566" t="str">
        <f t="shared" si="42"/>
        <v>High</v>
      </c>
      <c r="N566" t="str">
        <f t="shared" si="43"/>
        <v>No PIP</v>
      </c>
      <c r="O566" t="str">
        <f t="shared" ca="1" si="44"/>
        <v>Eligible</v>
      </c>
    </row>
    <row r="567" spans="1:15" x14ac:dyDescent="0.25">
      <c r="A567" t="s">
        <v>34</v>
      </c>
      <c r="B567">
        <v>50</v>
      </c>
      <c r="C567">
        <v>65000</v>
      </c>
      <c r="D567" t="s">
        <v>14</v>
      </c>
      <c r="E567" t="s">
        <v>23</v>
      </c>
      <c r="F567" t="s">
        <v>28</v>
      </c>
      <c r="G567" s="1">
        <v>43549</v>
      </c>
      <c r="H567" s="1" t="s">
        <v>29</v>
      </c>
      <c r="I567" s="1" t="s">
        <v>44</v>
      </c>
      <c r="J567" s="1" t="s">
        <v>19</v>
      </c>
      <c r="K567" s="4">
        <f t="shared" ca="1" si="40"/>
        <v>7.1</v>
      </c>
      <c r="L567" t="str">
        <f t="shared" si="41"/>
        <v>High</v>
      </c>
      <c r="M567" t="str">
        <f t="shared" si="42"/>
        <v>Medium</v>
      </c>
      <c r="N567" t="str">
        <f t="shared" si="43"/>
        <v>No PIP</v>
      </c>
      <c r="O567" t="str">
        <f t="shared" ca="1" si="44"/>
        <v>Not Eligible</v>
      </c>
    </row>
    <row r="568" spans="1:15" x14ac:dyDescent="0.25">
      <c r="A568" t="s">
        <v>33</v>
      </c>
      <c r="B568">
        <v>50</v>
      </c>
      <c r="C568">
        <v>50000</v>
      </c>
      <c r="D568" t="s">
        <v>9</v>
      </c>
      <c r="E568" t="s">
        <v>15</v>
      </c>
      <c r="F568" t="s">
        <v>30</v>
      </c>
      <c r="G568" s="1">
        <v>43549</v>
      </c>
      <c r="H568" s="1" t="s">
        <v>24</v>
      </c>
      <c r="I568" s="1" t="s">
        <v>44</v>
      </c>
      <c r="J568" s="1" t="s">
        <v>22</v>
      </c>
      <c r="K568" s="4">
        <f t="shared" ca="1" si="40"/>
        <v>7.1</v>
      </c>
      <c r="L568" t="str">
        <f t="shared" si="41"/>
        <v>Low</v>
      </c>
      <c r="M568" t="str">
        <f t="shared" si="42"/>
        <v>High</v>
      </c>
      <c r="N568" t="str">
        <f t="shared" si="43"/>
        <v>No PIP</v>
      </c>
      <c r="O568" t="str">
        <f t="shared" ca="1" si="44"/>
        <v>Eligible</v>
      </c>
    </row>
    <row r="569" spans="1:15" x14ac:dyDescent="0.25">
      <c r="A569" t="s">
        <v>39</v>
      </c>
      <c r="B569">
        <v>50</v>
      </c>
      <c r="C569">
        <v>60000</v>
      </c>
      <c r="D569" t="s">
        <v>26</v>
      </c>
      <c r="E569" t="s">
        <v>27</v>
      </c>
      <c r="F569" t="s">
        <v>28</v>
      </c>
      <c r="G569" s="1">
        <v>43549</v>
      </c>
      <c r="H569" s="1" t="s">
        <v>21</v>
      </c>
      <c r="I569" s="1" t="s">
        <v>18</v>
      </c>
      <c r="J569" s="1" t="s">
        <v>32</v>
      </c>
      <c r="K569" s="4">
        <f t="shared" ca="1" si="40"/>
        <v>7.1</v>
      </c>
      <c r="L569" t="str">
        <f t="shared" si="41"/>
        <v>Medium</v>
      </c>
      <c r="M569" t="str">
        <f t="shared" si="42"/>
        <v>Medium</v>
      </c>
      <c r="N569" t="str">
        <f t="shared" si="43"/>
        <v>No PIP</v>
      </c>
      <c r="O569" t="str">
        <f t="shared" ca="1" si="44"/>
        <v>Not Eligible</v>
      </c>
    </row>
    <row r="570" spans="1:15" x14ac:dyDescent="0.25">
      <c r="A570" t="s">
        <v>35</v>
      </c>
      <c r="B570">
        <v>35</v>
      </c>
      <c r="C570">
        <v>60216</v>
      </c>
      <c r="D570" t="s">
        <v>9</v>
      </c>
      <c r="E570" t="s">
        <v>23</v>
      </c>
      <c r="F570" t="s">
        <v>28</v>
      </c>
      <c r="G570" s="1">
        <v>43549</v>
      </c>
      <c r="H570" s="1" t="s">
        <v>21</v>
      </c>
      <c r="I570" s="1" t="s">
        <v>13</v>
      </c>
      <c r="J570" s="1" t="s">
        <v>22</v>
      </c>
      <c r="K570" s="4">
        <f t="shared" ca="1" si="40"/>
        <v>7.1</v>
      </c>
      <c r="L570" t="str">
        <f t="shared" si="41"/>
        <v>Medium</v>
      </c>
      <c r="M570" t="str">
        <f t="shared" si="42"/>
        <v>Medium</v>
      </c>
      <c r="N570" t="str">
        <f t="shared" si="43"/>
        <v>No PIP</v>
      </c>
      <c r="O570" t="str">
        <f t="shared" ca="1" si="44"/>
        <v>Not Eligible</v>
      </c>
    </row>
    <row r="571" spans="1:15" x14ac:dyDescent="0.25">
      <c r="A571" t="s">
        <v>35</v>
      </c>
      <c r="B571">
        <v>25</v>
      </c>
      <c r="C571">
        <v>65000</v>
      </c>
      <c r="D571" t="s">
        <v>9</v>
      </c>
      <c r="E571" t="s">
        <v>15</v>
      </c>
      <c r="F571" t="s">
        <v>28</v>
      </c>
      <c r="G571" s="1">
        <v>43549</v>
      </c>
      <c r="H571" s="1" t="s">
        <v>29</v>
      </c>
      <c r="I571" s="1" t="s">
        <v>44</v>
      </c>
      <c r="J571" s="1" t="s">
        <v>19</v>
      </c>
      <c r="K571" s="4">
        <f t="shared" ca="1" si="40"/>
        <v>7.1</v>
      </c>
      <c r="L571" t="str">
        <f t="shared" si="41"/>
        <v>High</v>
      </c>
      <c r="M571" t="str">
        <f t="shared" si="42"/>
        <v>Medium</v>
      </c>
      <c r="N571" t="str">
        <f t="shared" si="43"/>
        <v>No PIP</v>
      </c>
      <c r="O571" t="str">
        <f t="shared" ca="1" si="44"/>
        <v>Not Eligible</v>
      </c>
    </row>
    <row r="572" spans="1:15" x14ac:dyDescent="0.25">
      <c r="A572" t="s">
        <v>35</v>
      </c>
      <c r="B572">
        <v>30</v>
      </c>
      <c r="C572">
        <v>55000</v>
      </c>
      <c r="D572" t="s">
        <v>9</v>
      </c>
      <c r="E572" t="s">
        <v>23</v>
      </c>
      <c r="F572" t="s">
        <v>16</v>
      </c>
      <c r="G572" s="1">
        <v>43549</v>
      </c>
      <c r="H572" s="1" t="s">
        <v>17</v>
      </c>
      <c r="I572" s="1" t="s">
        <v>44</v>
      </c>
      <c r="J572" s="1" t="s">
        <v>32</v>
      </c>
      <c r="K572" s="4">
        <f t="shared" ca="1" si="40"/>
        <v>7.1</v>
      </c>
      <c r="L572" t="str">
        <f t="shared" si="41"/>
        <v>Low</v>
      </c>
      <c r="M572" t="str">
        <f t="shared" si="42"/>
        <v>Low</v>
      </c>
      <c r="N572" t="str">
        <f t="shared" si="43"/>
        <v>PIP</v>
      </c>
      <c r="O572" t="str">
        <f t="shared" ca="1" si="44"/>
        <v>Not Eligible</v>
      </c>
    </row>
    <row r="573" spans="1:15" x14ac:dyDescent="0.25">
      <c r="A573" t="s">
        <v>38</v>
      </c>
      <c r="B573">
        <v>25</v>
      </c>
      <c r="C573">
        <v>70000</v>
      </c>
      <c r="D573" t="s">
        <v>14</v>
      </c>
      <c r="E573" t="s">
        <v>23</v>
      </c>
      <c r="F573" t="s">
        <v>11</v>
      </c>
      <c r="G573" s="1">
        <v>43549</v>
      </c>
      <c r="H573" s="1" t="s">
        <v>29</v>
      </c>
      <c r="I573" s="1" t="s">
        <v>44</v>
      </c>
      <c r="J573" s="1" t="s">
        <v>44</v>
      </c>
      <c r="K573" s="4">
        <f t="shared" ca="1" si="40"/>
        <v>7.1</v>
      </c>
      <c r="L573" t="str">
        <f t="shared" si="41"/>
        <v>High</v>
      </c>
      <c r="M573" t="str">
        <f t="shared" si="42"/>
        <v>Medium</v>
      </c>
      <c r="N573" t="str">
        <f t="shared" si="43"/>
        <v>No PIP</v>
      </c>
      <c r="O573" t="str">
        <f t="shared" ca="1" si="44"/>
        <v>Not Eligible</v>
      </c>
    </row>
    <row r="574" spans="1:15" x14ac:dyDescent="0.25">
      <c r="A574" t="s">
        <v>40</v>
      </c>
      <c r="B574">
        <v>25</v>
      </c>
      <c r="C574">
        <v>60000</v>
      </c>
      <c r="D574" t="s">
        <v>14</v>
      </c>
      <c r="E574" t="s">
        <v>15</v>
      </c>
      <c r="F574" t="s">
        <v>30</v>
      </c>
      <c r="G574" s="1">
        <v>43549</v>
      </c>
      <c r="H574" s="1" t="s">
        <v>12</v>
      </c>
      <c r="I574" s="1" t="s">
        <v>13</v>
      </c>
      <c r="J574" s="1" t="s">
        <v>19</v>
      </c>
      <c r="K574" s="4">
        <f t="shared" ca="1" si="40"/>
        <v>7.1</v>
      </c>
      <c r="L574" t="str">
        <f t="shared" si="41"/>
        <v>Medium</v>
      </c>
      <c r="M574" t="str">
        <f t="shared" si="42"/>
        <v>Low</v>
      </c>
      <c r="N574" t="str">
        <f t="shared" si="43"/>
        <v>PIP</v>
      </c>
      <c r="O574" t="str">
        <f t="shared" ca="1" si="44"/>
        <v>Not Eligible</v>
      </c>
    </row>
    <row r="575" spans="1:15" x14ac:dyDescent="0.25">
      <c r="A575" t="s">
        <v>37</v>
      </c>
      <c r="B575">
        <v>25</v>
      </c>
      <c r="C575">
        <v>70000</v>
      </c>
      <c r="D575" t="s">
        <v>9</v>
      </c>
      <c r="E575" t="s">
        <v>23</v>
      </c>
      <c r="F575" t="s">
        <v>16</v>
      </c>
      <c r="G575" s="1">
        <v>43549</v>
      </c>
      <c r="H575" s="1" t="s">
        <v>29</v>
      </c>
      <c r="I575" s="1" t="s">
        <v>25</v>
      </c>
      <c r="J575" s="1" t="s">
        <v>32</v>
      </c>
      <c r="K575" s="4">
        <f t="shared" ca="1" si="40"/>
        <v>7.1</v>
      </c>
      <c r="L575" t="str">
        <f t="shared" si="41"/>
        <v>High</v>
      </c>
      <c r="M575" t="str">
        <f t="shared" si="42"/>
        <v>Medium</v>
      </c>
      <c r="N575" t="str">
        <f t="shared" si="43"/>
        <v>No PIP</v>
      </c>
      <c r="O575" t="str">
        <f t="shared" ca="1" si="44"/>
        <v>Not Eligible</v>
      </c>
    </row>
    <row r="576" spans="1:15" x14ac:dyDescent="0.25">
      <c r="A576" t="s">
        <v>37</v>
      </c>
      <c r="B576">
        <v>35</v>
      </c>
      <c r="C576">
        <v>65000</v>
      </c>
      <c r="D576" t="s">
        <v>9</v>
      </c>
      <c r="E576" t="s">
        <v>20</v>
      </c>
      <c r="F576" t="s">
        <v>31</v>
      </c>
      <c r="G576" s="1">
        <v>43549</v>
      </c>
      <c r="H576" s="1" t="s">
        <v>12</v>
      </c>
      <c r="I576" s="1" t="s">
        <v>44</v>
      </c>
      <c r="J576" s="1" t="s">
        <v>22</v>
      </c>
      <c r="K576" s="4">
        <f t="shared" ca="1" si="40"/>
        <v>7.1</v>
      </c>
      <c r="L576" t="str">
        <f t="shared" si="41"/>
        <v>High</v>
      </c>
      <c r="M576" t="str">
        <f t="shared" si="42"/>
        <v>Low</v>
      </c>
      <c r="N576" t="str">
        <f t="shared" si="43"/>
        <v>PIP</v>
      </c>
      <c r="O576" t="str">
        <f t="shared" ca="1" si="44"/>
        <v>Not Eligible</v>
      </c>
    </row>
    <row r="577" spans="1:15" x14ac:dyDescent="0.25">
      <c r="A577" t="s">
        <v>37</v>
      </c>
      <c r="B577">
        <v>30</v>
      </c>
      <c r="C577">
        <v>65000</v>
      </c>
      <c r="D577" t="s">
        <v>9</v>
      </c>
      <c r="E577" t="s">
        <v>15</v>
      </c>
      <c r="F577" t="s">
        <v>30</v>
      </c>
      <c r="G577" s="1">
        <v>43549</v>
      </c>
      <c r="H577" s="1" t="s">
        <v>17</v>
      </c>
      <c r="I577" s="1" t="s">
        <v>44</v>
      </c>
      <c r="J577" s="1" t="s">
        <v>44</v>
      </c>
      <c r="K577" s="4">
        <f t="shared" ca="1" si="40"/>
        <v>7.1</v>
      </c>
      <c r="L577" t="str">
        <f t="shared" si="41"/>
        <v>High</v>
      </c>
      <c r="M577" t="str">
        <f t="shared" si="42"/>
        <v>Low</v>
      </c>
      <c r="N577" t="str">
        <f t="shared" si="43"/>
        <v>PIP</v>
      </c>
      <c r="O577" t="str">
        <f t="shared" ca="1" si="44"/>
        <v>Not Eligible</v>
      </c>
    </row>
    <row r="578" spans="1:15" x14ac:dyDescent="0.25">
      <c r="A578" t="s">
        <v>37</v>
      </c>
      <c r="B578">
        <v>30</v>
      </c>
      <c r="C578">
        <v>50000</v>
      </c>
      <c r="D578" t="s">
        <v>14</v>
      </c>
      <c r="E578" t="s">
        <v>20</v>
      </c>
      <c r="F578" t="s">
        <v>30</v>
      </c>
      <c r="G578" s="1">
        <v>43549</v>
      </c>
      <c r="H578" s="1" t="s">
        <v>29</v>
      </c>
      <c r="I578" s="1" t="s">
        <v>13</v>
      </c>
      <c r="J578" s="1" t="s">
        <v>19</v>
      </c>
      <c r="K578" s="4">
        <f t="shared" ca="1" si="40"/>
        <v>7.1</v>
      </c>
      <c r="L578" t="str">
        <f t="shared" si="41"/>
        <v>Low</v>
      </c>
      <c r="M578" t="str">
        <f t="shared" si="42"/>
        <v>Medium</v>
      </c>
      <c r="N578" t="str">
        <f t="shared" si="43"/>
        <v>No PIP</v>
      </c>
      <c r="O578" t="str">
        <f t="shared" ca="1" si="44"/>
        <v>Not Eligible</v>
      </c>
    </row>
    <row r="579" spans="1:15" x14ac:dyDescent="0.25">
      <c r="A579" t="s">
        <v>41</v>
      </c>
      <c r="B579">
        <v>25</v>
      </c>
      <c r="C579">
        <v>50000</v>
      </c>
      <c r="D579" t="s">
        <v>14</v>
      </c>
      <c r="E579" t="s">
        <v>20</v>
      </c>
      <c r="F579" t="s">
        <v>11</v>
      </c>
      <c r="G579" s="1">
        <v>43549</v>
      </c>
      <c r="H579" s="1" t="s">
        <v>24</v>
      </c>
      <c r="I579" s="1" t="s">
        <v>18</v>
      </c>
      <c r="J579" s="1" t="s">
        <v>32</v>
      </c>
      <c r="K579" s="4">
        <f t="shared" ref="K579:K642" ca="1" si="45">ROUND((TODAY()-G579)/365,1)</f>
        <v>7.1</v>
      </c>
      <c r="L579" t="str">
        <f t="shared" ref="L579:L642" si="46">IF(C579&lt;60000,"Low", IF(C579&lt;65000,"Medium","High"))</f>
        <v>Low</v>
      </c>
      <c r="M579" t="str">
        <f t="shared" ref="M579:M642" si="47">IF(H579="A","High",IF(OR(H579="B",H579="C"),"Medium","Low"))</f>
        <v>High</v>
      </c>
      <c r="N579" t="str">
        <f t="shared" ref="N579:N642" si="48">IF(M579="Low","PIP","No PIP")</f>
        <v>No PIP</v>
      </c>
      <c r="O579" t="str">
        <f t="shared" ref="O579:O642" ca="1" si="49">IF(AND(M579="High",K579&gt;3),"Eligible","Not Eligible")</f>
        <v>Eligible</v>
      </c>
    </row>
    <row r="580" spans="1:15" x14ac:dyDescent="0.25">
      <c r="A580" t="s">
        <v>35</v>
      </c>
      <c r="B580">
        <v>25</v>
      </c>
      <c r="C580">
        <v>55000</v>
      </c>
      <c r="D580" t="s">
        <v>26</v>
      </c>
      <c r="E580" t="s">
        <v>20</v>
      </c>
      <c r="F580" t="s">
        <v>31</v>
      </c>
      <c r="G580" s="1">
        <v>43549</v>
      </c>
      <c r="H580" s="1" t="s">
        <v>29</v>
      </c>
      <c r="I580" s="1" t="s">
        <v>13</v>
      </c>
      <c r="J580" s="1" t="s">
        <v>44</v>
      </c>
      <c r="K580" s="4">
        <f t="shared" ca="1" si="45"/>
        <v>7.1</v>
      </c>
      <c r="L580" t="str">
        <f t="shared" si="46"/>
        <v>Low</v>
      </c>
      <c r="M580" t="str">
        <f t="shared" si="47"/>
        <v>Medium</v>
      </c>
      <c r="N580" t="str">
        <f t="shared" si="48"/>
        <v>No PIP</v>
      </c>
      <c r="O580" t="str">
        <f t="shared" ca="1" si="49"/>
        <v>Not Eligible</v>
      </c>
    </row>
    <row r="581" spans="1:15" x14ac:dyDescent="0.25">
      <c r="A581" t="s">
        <v>33</v>
      </c>
      <c r="B581">
        <v>30</v>
      </c>
      <c r="C581">
        <v>60216</v>
      </c>
      <c r="D581" t="s">
        <v>9</v>
      </c>
      <c r="E581" t="s">
        <v>10</v>
      </c>
      <c r="F581" t="s">
        <v>28</v>
      </c>
      <c r="G581" s="1">
        <v>43549</v>
      </c>
      <c r="H581" s="1" t="s">
        <v>12</v>
      </c>
      <c r="I581" s="1" t="s">
        <v>13</v>
      </c>
      <c r="J581" s="1" t="s">
        <v>32</v>
      </c>
      <c r="K581" s="4">
        <f t="shared" ca="1" si="45"/>
        <v>7.1</v>
      </c>
      <c r="L581" t="str">
        <f t="shared" si="46"/>
        <v>Medium</v>
      </c>
      <c r="M581" t="str">
        <f t="shared" si="47"/>
        <v>Low</v>
      </c>
      <c r="N581" t="str">
        <f t="shared" si="48"/>
        <v>PIP</v>
      </c>
      <c r="O581" t="str">
        <f t="shared" ca="1" si="49"/>
        <v>Not Eligible</v>
      </c>
    </row>
    <row r="582" spans="1:15" x14ac:dyDescent="0.25">
      <c r="A582" t="s">
        <v>38</v>
      </c>
      <c r="B582">
        <v>50</v>
      </c>
      <c r="C582">
        <v>70000</v>
      </c>
      <c r="D582" t="s">
        <v>14</v>
      </c>
      <c r="E582" t="s">
        <v>15</v>
      </c>
      <c r="F582" t="s">
        <v>11</v>
      </c>
      <c r="G582" s="1">
        <v>43549</v>
      </c>
      <c r="H582" s="1" t="s">
        <v>29</v>
      </c>
      <c r="I582" s="1" t="s">
        <v>18</v>
      </c>
      <c r="J582" s="1" t="s">
        <v>44</v>
      </c>
      <c r="K582" s="4">
        <f t="shared" ca="1" si="45"/>
        <v>7.1</v>
      </c>
      <c r="L582" t="str">
        <f t="shared" si="46"/>
        <v>High</v>
      </c>
      <c r="M582" t="str">
        <f t="shared" si="47"/>
        <v>Medium</v>
      </c>
      <c r="N582" t="str">
        <f t="shared" si="48"/>
        <v>No PIP</v>
      </c>
      <c r="O582" t="str">
        <f t="shared" ca="1" si="49"/>
        <v>Not Eligible</v>
      </c>
    </row>
    <row r="583" spans="1:15" x14ac:dyDescent="0.25">
      <c r="A583" t="s">
        <v>42</v>
      </c>
      <c r="B583">
        <v>35</v>
      </c>
      <c r="C583">
        <v>60000</v>
      </c>
      <c r="D583" t="s">
        <v>9</v>
      </c>
      <c r="E583" t="s">
        <v>20</v>
      </c>
      <c r="F583" t="s">
        <v>16</v>
      </c>
      <c r="G583" s="1">
        <v>43549</v>
      </c>
      <c r="H583" s="1" t="s">
        <v>12</v>
      </c>
      <c r="I583" s="1" t="s">
        <v>18</v>
      </c>
      <c r="J583" s="1" t="s">
        <v>19</v>
      </c>
      <c r="K583" s="4">
        <f t="shared" ca="1" si="45"/>
        <v>7.1</v>
      </c>
      <c r="L583" t="str">
        <f t="shared" si="46"/>
        <v>Medium</v>
      </c>
      <c r="M583" t="str">
        <f t="shared" si="47"/>
        <v>Low</v>
      </c>
      <c r="N583" t="str">
        <f t="shared" si="48"/>
        <v>PIP</v>
      </c>
      <c r="O583" t="str">
        <f t="shared" ca="1" si="49"/>
        <v>Not Eligible</v>
      </c>
    </row>
    <row r="584" spans="1:15" x14ac:dyDescent="0.25">
      <c r="A584" t="s">
        <v>41</v>
      </c>
      <c r="B584">
        <v>25</v>
      </c>
      <c r="C584">
        <v>70000</v>
      </c>
      <c r="D584" t="s">
        <v>9</v>
      </c>
      <c r="E584" t="s">
        <v>20</v>
      </c>
      <c r="F584" t="s">
        <v>31</v>
      </c>
      <c r="G584" s="1">
        <v>43549</v>
      </c>
      <c r="H584" s="1" t="s">
        <v>21</v>
      </c>
      <c r="I584" s="1" t="s">
        <v>18</v>
      </c>
      <c r="J584" s="1" t="s">
        <v>44</v>
      </c>
      <c r="K584" s="4">
        <f t="shared" ca="1" si="45"/>
        <v>7.1</v>
      </c>
      <c r="L584" t="str">
        <f t="shared" si="46"/>
        <v>High</v>
      </c>
      <c r="M584" t="str">
        <f t="shared" si="47"/>
        <v>Medium</v>
      </c>
      <c r="N584" t="str">
        <f t="shared" si="48"/>
        <v>No PIP</v>
      </c>
      <c r="O584" t="str">
        <f t="shared" ca="1" si="49"/>
        <v>Not Eligible</v>
      </c>
    </row>
    <row r="585" spans="1:15" x14ac:dyDescent="0.25">
      <c r="A585" t="s">
        <v>35</v>
      </c>
      <c r="B585">
        <v>50</v>
      </c>
      <c r="C585">
        <v>50000</v>
      </c>
      <c r="D585" t="s">
        <v>26</v>
      </c>
      <c r="E585" t="s">
        <v>20</v>
      </c>
      <c r="F585" t="s">
        <v>30</v>
      </c>
      <c r="G585" s="1">
        <v>43549</v>
      </c>
      <c r="H585" s="1" t="s">
        <v>17</v>
      </c>
      <c r="I585" s="1" t="s">
        <v>25</v>
      </c>
      <c r="J585" s="1" t="s">
        <v>44</v>
      </c>
      <c r="K585" s="4">
        <f t="shared" ca="1" si="45"/>
        <v>7.1</v>
      </c>
      <c r="L585" t="str">
        <f t="shared" si="46"/>
        <v>Low</v>
      </c>
      <c r="M585" t="str">
        <f t="shared" si="47"/>
        <v>Low</v>
      </c>
      <c r="N585" t="str">
        <f t="shared" si="48"/>
        <v>PIP</v>
      </c>
      <c r="O585" t="str">
        <f t="shared" ca="1" si="49"/>
        <v>Not Eligible</v>
      </c>
    </row>
    <row r="586" spans="1:15" x14ac:dyDescent="0.25">
      <c r="A586" t="s">
        <v>36</v>
      </c>
      <c r="B586">
        <v>35</v>
      </c>
      <c r="C586">
        <v>70000</v>
      </c>
      <c r="D586" t="s">
        <v>9</v>
      </c>
      <c r="E586" t="s">
        <v>15</v>
      </c>
      <c r="F586" t="s">
        <v>11</v>
      </c>
      <c r="G586" s="1">
        <v>43549</v>
      </c>
      <c r="H586" s="1" t="s">
        <v>29</v>
      </c>
      <c r="I586" s="1" t="s">
        <v>18</v>
      </c>
      <c r="J586" s="1" t="s">
        <v>22</v>
      </c>
      <c r="K586" s="4">
        <f t="shared" ca="1" si="45"/>
        <v>7.1</v>
      </c>
      <c r="L586" t="str">
        <f t="shared" si="46"/>
        <v>High</v>
      </c>
      <c r="M586" t="str">
        <f t="shared" si="47"/>
        <v>Medium</v>
      </c>
      <c r="N586" t="str">
        <f t="shared" si="48"/>
        <v>No PIP</v>
      </c>
      <c r="O586" t="str">
        <f t="shared" ca="1" si="49"/>
        <v>Not Eligible</v>
      </c>
    </row>
    <row r="587" spans="1:15" x14ac:dyDescent="0.25">
      <c r="A587" t="s">
        <v>39</v>
      </c>
      <c r="B587">
        <v>35</v>
      </c>
      <c r="C587">
        <v>65000</v>
      </c>
      <c r="D587" t="s">
        <v>14</v>
      </c>
      <c r="E587" t="s">
        <v>10</v>
      </c>
      <c r="F587" t="s">
        <v>31</v>
      </c>
      <c r="G587" s="1">
        <v>43549</v>
      </c>
      <c r="H587" s="1" t="s">
        <v>21</v>
      </c>
      <c r="I587" s="1" t="s">
        <v>25</v>
      </c>
      <c r="J587" s="1" t="s">
        <v>19</v>
      </c>
      <c r="K587" s="4">
        <f t="shared" ca="1" si="45"/>
        <v>7.1</v>
      </c>
      <c r="L587" t="str">
        <f t="shared" si="46"/>
        <v>High</v>
      </c>
      <c r="M587" t="str">
        <f t="shared" si="47"/>
        <v>Medium</v>
      </c>
      <c r="N587" t="str">
        <f t="shared" si="48"/>
        <v>No PIP</v>
      </c>
      <c r="O587" t="str">
        <f t="shared" ca="1" si="49"/>
        <v>Not Eligible</v>
      </c>
    </row>
    <row r="588" spans="1:15" x14ac:dyDescent="0.25">
      <c r="A588" t="s">
        <v>33</v>
      </c>
      <c r="B588">
        <v>35</v>
      </c>
      <c r="C588">
        <v>50000</v>
      </c>
      <c r="D588" t="s">
        <v>26</v>
      </c>
      <c r="E588" t="s">
        <v>15</v>
      </c>
      <c r="F588" t="s">
        <v>11</v>
      </c>
      <c r="G588" s="1">
        <v>43549</v>
      </c>
      <c r="H588" s="1" t="s">
        <v>21</v>
      </c>
      <c r="I588" s="1" t="s">
        <v>44</v>
      </c>
      <c r="J588" s="1" t="s">
        <v>32</v>
      </c>
      <c r="K588" s="4">
        <f t="shared" ca="1" si="45"/>
        <v>7.1</v>
      </c>
      <c r="L588" t="str">
        <f t="shared" si="46"/>
        <v>Low</v>
      </c>
      <c r="M588" t="str">
        <f t="shared" si="47"/>
        <v>Medium</v>
      </c>
      <c r="N588" t="str">
        <f t="shared" si="48"/>
        <v>No PIP</v>
      </c>
      <c r="O588" t="str">
        <f t="shared" ca="1" si="49"/>
        <v>Not Eligible</v>
      </c>
    </row>
    <row r="589" spans="1:15" x14ac:dyDescent="0.25">
      <c r="A589" t="s">
        <v>40</v>
      </c>
      <c r="B589">
        <v>30</v>
      </c>
      <c r="C589">
        <v>65000</v>
      </c>
      <c r="D589" t="s">
        <v>26</v>
      </c>
      <c r="E589" t="s">
        <v>23</v>
      </c>
      <c r="F589" t="s">
        <v>30</v>
      </c>
      <c r="G589" s="1">
        <v>43549</v>
      </c>
      <c r="H589" s="1" t="s">
        <v>17</v>
      </c>
      <c r="I589" s="1" t="s">
        <v>44</v>
      </c>
      <c r="J589" s="1" t="s">
        <v>44</v>
      </c>
      <c r="K589" s="4">
        <f t="shared" ca="1" si="45"/>
        <v>7.1</v>
      </c>
      <c r="L589" t="str">
        <f t="shared" si="46"/>
        <v>High</v>
      </c>
      <c r="M589" t="str">
        <f t="shared" si="47"/>
        <v>Low</v>
      </c>
      <c r="N589" t="str">
        <f t="shared" si="48"/>
        <v>PIP</v>
      </c>
      <c r="O589" t="str">
        <f t="shared" ca="1" si="49"/>
        <v>Not Eligible</v>
      </c>
    </row>
    <row r="590" spans="1:15" x14ac:dyDescent="0.25">
      <c r="A590" t="s">
        <v>38</v>
      </c>
      <c r="B590">
        <v>35</v>
      </c>
      <c r="C590">
        <v>65000</v>
      </c>
      <c r="D590" t="s">
        <v>9</v>
      </c>
      <c r="E590" t="s">
        <v>10</v>
      </c>
      <c r="F590" t="s">
        <v>30</v>
      </c>
      <c r="G590" s="1">
        <v>43549</v>
      </c>
      <c r="H590" s="1" t="s">
        <v>17</v>
      </c>
      <c r="I590" s="1" t="s">
        <v>13</v>
      </c>
      <c r="J590" s="1" t="s">
        <v>44</v>
      </c>
      <c r="K590" s="4">
        <f t="shared" ca="1" si="45"/>
        <v>7.1</v>
      </c>
      <c r="L590" t="str">
        <f t="shared" si="46"/>
        <v>High</v>
      </c>
      <c r="M590" t="str">
        <f t="shared" si="47"/>
        <v>Low</v>
      </c>
      <c r="N590" t="str">
        <f t="shared" si="48"/>
        <v>PIP</v>
      </c>
      <c r="O590" t="str">
        <f t="shared" ca="1" si="49"/>
        <v>Not Eligible</v>
      </c>
    </row>
    <row r="591" spans="1:15" x14ac:dyDescent="0.25">
      <c r="A591" t="s">
        <v>36</v>
      </c>
      <c r="B591">
        <v>40</v>
      </c>
      <c r="C591">
        <v>70000</v>
      </c>
      <c r="D591" t="s">
        <v>26</v>
      </c>
      <c r="E591" t="s">
        <v>15</v>
      </c>
      <c r="F591" t="s">
        <v>28</v>
      </c>
      <c r="G591" s="1">
        <v>43549</v>
      </c>
      <c r="H591" s="1" t="s">
        <v>12</v>
      </c>
      <c r="I591" s="1" t="s">
        <v>18</v>
      </c>
      <c r="J591" s="1" t="s">
        <v>19</v>
      </c>
      <c r="K591" s="4">
        <f t="shared" ca="1" si="45"/>
        <v>7.1</v>
      </c>
      <c r="L591" t="str">
        <f t="shared" si="46"/>
        <v>High</v>
      </c>
      <c r="M591" t="str">
        <f t="shared" si="47"/>
        <v>Low</v>
      </c>
      <c r="N591" t="str">
        <f t="shared" si="48"/>
        <v>PIP</v>
      </c>
      <c r="O591" t="str">
        <f t="shared" ca="1" si="49"/>
        <v>Not Eligible</v>
      </c>
    </row>
    <row r="592" spans="1:15" x14ac:dyDescent="0.25">
      <c r="A592" t="s">
        <v>41</v>
      </c>
      <c r="B592">
        <v>50</v>
      </c>
      <c r="C592">
        <v>70000</v>
      </c>
      <c r="D592" t="s">
        <v>14</v>
      </c>
      <c r="E592" t="s">
        <v>10</v>
      </c>
      <c r="F592" t="s">
        <v>28</v>
      </c>
      <c r="G592" s="1">
        <v>43549</v>
      </c>
      <c r="H592" s="1" t="s">
        <v>24</v>
      </c>
      <c r="I592" s="1" t="s">
        <v>44</v>
      </c>
      <c r="J592" s="1" t="s">
        <v>44</v>
      </c>
      <c r="K592" s="4">
        <f t="shared" ca="1" si="45"/>
        <v>7.1</v>
      </c>
      <c r="L592" t="str">
        <f t="shared" si="46"/>
        <v>High</v>
      </c>
      <c r="M592" t="str">
        <f t="shared" si="47"/>
        <v>High</v>
      </c>
      <c r="N592" t="str">
        <f t="shared" si="48"/>
        <v>No PIP</v>
      </c>
      <c r="O592" t="str">
        <f t="shared" ca="1" si="49"/>
        <v>Eligible</v>
      </c>
    </row>
    <row r="593" spans="1:15" x14ac:dyDescent="0.25">
      <c r="A593" t="s">
        <v>37</v>
      </c>
      <c r="B593">
        <v>35</v>
      </c>
      <c r="C593">
        <v>50000</v>
      </c>
      <c r="D593" t="s">
        <v>26</v>
      </c>
      <c r="E593" t="s">
        <v>15</v>
      </c>
      <c r="F593" t="s">
        <v>30</v>
      </c>
      <c r="G593" s="1">
        <v>43549</v>
      </c>
      <c r="H593" s="1" t="s">
        <v>24</v>
      </c>
      <c r="I593" s="1" t="s">
        <v>13</v>
      </c>
      <c r="J593" s="1" t="s">
        <v>19</v>
      </c>
      <c r="K593" s="4">
        <f t="shared" ca="1" si="45"/>
        <v>7.1</v>
      </c>
      <c r="L593" t="str">
        <f t="shared" si="46"/>
        <v>Low</v>
      </c>
      <c r="M593" t="str">
        <f t="shared" si="47"/>
        <v>High</v>
      </c>
      <c r="N593" t="str">
        <f t="shared" si="48"/>
        <v>No PIP</v>
      </c>
      <c r="O593" t="str">
        <f t="shared" ca="1" si="49"/>
        <v>Eligible</v>
      </c>
    </row>
    <row r="594" spans="1:15" x14ac:dyDescent="0.25">
      <c r="A594" t="s">
        <v>37</v>
      </c>
      <c r="B594">
        <v>25</v>
      </c>
      <c r="C594">
        <v>50000</v>
      </c>
      <c r="D594" t="s">
        <v>9</v>
      </c>
      <c r="E594" t="s">
        <v>20</v>
      </c>
      <c r="F594" t="s">
        <v>31</v>
      </c>
      <c r="G594" s="1">
        <v>43549</v>
      </c>
      <c r="H594" s="1" t="s">
        <v>24</v>
      </c>
      <c r="I594" s="1" t="s">
        <v>13</v>
      </c>
      <c r="J594" s="1" t="s">
        <v>44</v>
      </c>
      <c r="K594" s="4">
        <f t="shared" ca="1" si="45"/>
        <v>7.1</v>
      </c>
      <c r="L594" t="str">
        <f t="shared" si="46"/>
        <v>Low</v>
      </c>
      <c r="M594" t="str">
        <f t="shared" si="47"/>
        <v>High</v>
      </c>
      <c r="N594" t="str">
        <f t="shared" si="48"/>
        <v>No PIP</v>
      </c>
      <c r="O594" t="str">
        <f t="shared" ca="1" si="49"/>
        <v>Eligible</v>
      </c>
    </row>
    <row r="595" spans="1:15" x14ac:dyDescent="0.25">
      <c r="A595" t="s">
        <v>35</v>
      </c>
      <c r="B595">
        <v>30</v>
      </c>
      <c r="C595">
        <v>70000</v>
      </c>
      <c r="D595" t="s">
        <v>9</v>
      </c>
      <c r="E595" t="s">
        <v>23</v>
      </c>
      <c r="F595" t="s">
        <v>16</v>
      </c>
      <c r="G595" s="1">
        <v>43549</v>
      </c>
      <c r="H595" s="1" t="s">
        <v>29</v>
      </c>
      <c r="I595" s="1" t="s">
        <v>13</v>
      </c>
      <c r="J595" s="1" t="s">
        <v>19</v>
      </c>
      <c r="K595" s="4">
        <f t="shared" ca="1" si="45"/>
        <v>7.1</v>
      </c>
      <c r="L595" t="str">
        <f t="shared" si="46"/>
        <v>High</v>
      </c>
      <c r="M595" t="str">
        <f t="shared" si="47"/>
        <v>Medium</v>
      </c>
      <c r="N595" t="str">
        <f t="shared" si="48"/>
        <v>No PIP</v>
      </c>
      <c r="O595" t="str">
        <f t="shared" ca="1" si="49"/>
        <v>Not Eligible</v>
      </c>
    </row>
    <row r="596" spans="1:15" x14ac:dyDescent="0.25">
      <c r="A596" t="s">
        <v>38</v>
      </c>
      <c r="B596">
        <v>25</v>
      </c>
      <c r="C596">
        <v>55000</v>
      </c>
      <c r="D596" t="s">
        <v>26</v>
      </c>
      <c r="E596" t="s">
        <v>23</v>
      </c>
      <c r="F596" t="s">
        <v>11</v>
      </c>
      <c r="G596" s="1">
        <v>43549</v>
      </c>
      <c r="H596" s="1" t="s">
        <v>17</v>
      </c>
      <c r="I596" s="1" t="s">
        <v>13</v>
      </c>
      <c r="J596" s="1" t="s">
        <v>44</v>
      </c>
      <c r="K596" s="4">
        <f t="shared" ca="1" si="45"/>
        <v>7.1</v>
      </c>
      <c r="L596" t="str">
        <f t="shared" si="46"/>
        <v>Low</v>
      </c>
      <c r="M596" t="str">
        <f t="shared" si="47"/>
        <v>Low</v>
      </c>
      <c r="N596" t="str">
        <f t="shared" si="48"/>
        <v>PIP</v>
      </c>
      <c r="O596" t="str">
        <f t="shared" ca="1" si="49"/>
        <v>Not Eligible</v>
      </c>
    </row>
    <row r="597" spans="1:15" x14ac:dyDescent="0.25">
      <c r="A597" t="s">
        <v>36</v>
      </c>
      <c r="B597">
        <v>35</v>
      </c>
      <c r="C597">
        <v>50000</v>
      </c>
      <c r="D597" t="s">
        <v>9</v>
      </c>
      <c r="E597" t="s">
        <v>27</v>
      </c>
      <c r="F597" t="s">
        <v>11</v>
      </c>
      <c r="G597" s="1">
        <v>43549</v>
      </c>
      <c r="H597" s="1" t="s">
        <v>24</v>
      </c>
      <c r="I597" s="1" t="s">
        <v>44</v>
      </c>
      <c r="J597" s="1" t="s">
        <v>44</v>
      </c>
      <c r="K597" s="4">
        <f t="shared" ca="1" si="45"/>
        <v>7.1</v>
      </c>
      <c r="L597" t="str">
        <f t="shared" si="46"/>
        <v>Low</v>
      </c>
      <c r="M597" t="str">
        <f t="shared" si="47"/>
        <v>High</v>
      </c>
      <c r="N597" t="str">
        <f t="shared" si="48"/>
        <v>No PIP</v>
      </c>
      <c r="O597" t="str">
        <f t="shared" ca="1" si="49"/>
        <v>Eligible</v>
      </c>
    </row>
    <row r="598" spans="1:15" x14ac:dyDescent="0.25">
      <c r="A598" t="s">
        <v>36</v>
      </c>
      <c r="B598">
        <v>35</v>
      </c>
      <c r="C598">
        <v>50000</v>
      </c>
      <c r="D598" t="s">
        <v>26</v>
      </c>
      <c r="E598" t="s">
        <v>15</v>
      </c>
      <c r="F598" t="s">
        <v>16</v>
      </c>
      <c r="G598" s="1">
        <v>43549</v>
      </c>
      <c r="H598" s="1" t="s">
        <v>29</v>
      </c>
      <c r="I598" s="1" t="s">
        <v>25</v>
      </c>
      <c r="J598" s="1" t="s">
        <v>44</v>
      </c>
      <c r="K598" s="4">
        <f t="shared" ca="1" si="45"/>
        <v>7.1</v>
      </c>
      <c r="L598" t="str">
        <f t="shared" si="46"/>
        <v>Low</v>
      </c>
      <c r="M598" t="str">
        <f t="shared" si="47"/>
        <v>Medium</v>
      </c>
      <c r="N598" t="str">
        <f t="shared" si="48"/>
        <v>No PIP</v>
      </c>
      <c r="O598" t="str">
        <f t="shared" ca="1" si="49"/>
        <v>Not Eligible</v>
      </c>
    </row>
    <row r="599" spans="1:15" x14ac:dyDescent="0.25">
      <c r="A599" t="s">
        <v>38</v>
      </c>
      <c r="B599">
        <v>30</v>
      </c>
      <c r="C599">
        <v>60216</v>
      </c>
      <c r="D599" t="s">
        <v>26</v>
      </c>
      <c r="E599" t="s">
        <v>10</v>
      </c>
      <c r="F599" t="s">
        <v>30</v>
      </c>
      <c r="G599" s="1">
        <v>43549</v>
      </c>
      <c r="H599" s="1" t="s">
        <v>29</v>
      </c>
      <c r="I599" s="1" t="s">
        <v>25</v>
      </c>
      <c r="J599" s="1" t="s">
        <v>44</v>
      </c>
      <c r="K599" s="4">
        <f t="shared" ca="1" si="45"/>
        <v>7.1</v>
      </c>
      <c r="L599" t="str">
        <f t="shared" si="46"/>
        <v>Medium</v>
      </c>
      <c r="M599" t="str">
        <f t="shared" si="47"/>
        <v>Medium</v>
      </c>
      <c r="N599" t="str">
        <f t="shared" si="48"/>
        <v>No PIP</v>
      </c>
      <c r="O599" t="str">
        <f t="shared" ca="1" si="49"/>
        <v>Not Eligible</v>
      </c>
    </row>
    <row r="600" spans="1:15" x14ac:dyDescent="0.25">
      <c r="A600" t="s">
        <v>40</v>
      </c>
      <c r="B600">
        <v>35</v>
      </c>
      <c r="C600">
        <v>65000</v>
      </c>
      <c r="D600" t="s">
        <v>26</v>
      </c>
      <c r="E600" t="s">
        <v>15</v>
      </c>
      <c r="F600" t="s">
        <v>30</v>
      </c>
      <c r="G600" s="1">
        <v>43549</v>
      </c>
      <c r="H600" s="1" t="s">
        <v>12</v>
      </c>
      <c r="I600" s="1" t="s">
        <v>44</v>
      </c>
      <c r="J600" s="1" t="s">
        <v>44</v>
      </c>
      <c r="K600" s="4">
        <f t="shared" ca="1" si="45"/>
        <v>7.1</v>
      </c>
      <c r="L600" t="str">
        <f t="shared" si="46"/>
        <v>High</v>
      </c>
      <c r="M600" t="str">
        <f t="shared" si="47"/>
        <v>Low</v>
      </c>
      <c r="N600" t="str">
        <f t="shared" si="48"/>
        <v>PIP</v>
      </c>
      <c r="O600" t="str">
        <f t="shared" ca="1" si="49"/>
        <v>Not Eligible</v>
      </c>
    </row>
    <row r="601" spans="1:15" x14ac:dyDescent="0.25">
      <c r="A601" t="s">
        <v>41</v>
      </c>
      <c r="B601">
        <v>50</v>
      </c>
      <c r="C601">
        <v>65000</v>
      </c>
      <c r="D601" t="s">
        <v>14</v>
      </c>
      <c r="E601" t="s">
        <v>23</v>
      </c>
      <c r="F601" t="s">
        <v>31</v>
      </c>
      <c r="G601" s="1">
        <v>43549</v>
      </c>
      <c r="H601" s="1" t="s">
        <v>24</v>
      </c>
      <c r="I601" s="1" t="s">
        <v>18</v>
      </c>
      <c r="J601" s="1" t="s">
        <v>22</v>
      </c>
      <c r="K601" s="4">
        <f t="shared" ca="1" si="45"/>
        <v>7.1</v>
      </c>
      <c r="L601" t="str">
        <f t="shared" si="46"/>
        <v>High</v>
      </c>
      <c r="M601" t="str">
        <f t="shared" si="47"/>
        <v>High</v>
      </c>
      <c r="N601" t="str">
        <f t="shared" si="48"/>
        <v>No PIP</v>
      </c>
      <c r="O601" t="str">
        <f t="shared" ca="1" si="49"/>
        <v>Eligible</v>
      </c>
    </row>
    <row r="602" spans="1:15" x14ac:dyDescent="0.25">
      <c r="A602" t="s">
        <v>40</v>
      </c>
      <c r="B602">
        <v>30</v>
      </c>
      <c r="C602">
        <v>60216</v>
      </c>
      <c r="D602" t="s">
        <v>9</v>
      </c>
      <c r="E602" t="s">
        <v>15</v>
      </c>
      <c r="F602" t="s">
        <v>11</v>
      </c>
      <c r="G602" s="1">
        <v>43549</v>
      </c>
      <c r="H602" s="1" t="s">
        <v>12</v>
      </c>
      <c r="I602" s="1" t="s">
        <v>44</v>
      </c>
      <c r="J602" s="1" t="s">
        <v>44</v>
      </c>
      <c r="K602" s="4">
        <f t="shared" ca="1" si="45"/>
        <v>7.1</v>
      </c>
      <c r="L602" t="str">
        <f t="shared" si="46"/>
        <v>Medium</v>
      </c>
      <c r="M602" t="str">
        <f t="shared" si="47"/>
        <v>Low</v>
      </c>
      <c r="N602" t="str">
        <f t="shared" si="48"/>
        <v>PIP</v>
      </c>
      <c r="O602" t="str">
        <f t="shared" ca="1" si="49"/>
        <v>Not Eligible</v>
      </c>
    </row>
    <row r="603" spans="1:15" x14ac:dyDescent="0.25">
      <c r="A603" t="s">
        <v>33</v>
      </c>
      <c r="B603">
        <v>50</v>
      </c>
      <c r="C603">
        <v>50000</v>
      </c>
      <c r="D603" t="s">
        <v>26</v>
      </c>
      <c r="E603" t="s">
        <v>27</v>
      </c>
      <c r="F603" t="s">
        <v>16</v>
      </c>
      <c r="G603" s="1">
        <v>43549</v>
      </c>
      <c r="H603" s="1" t="s">
        <v>24</v>
      </c>
      <c r="I603" s="1" t="s">
        <v>25</v>
      </c>
      <c r="J603" s="1" t="s">
        <v>19</v>
      </c>
      <c r="K603" s="4">
        <f t="shared" ca="1" si="45"/>
        <v>7.1</v>
      </c>
      <c r="L603" t="str">
        <f t="shared" si="46"/>
        <v>Low</v>
      </c>
      <c r="M603" t="str">
        <f t="shared" si="47"/>
        <v>High</v>
      </c>
      <c r="N603" t="str">
        <f t="shared" si="48"/>
        <v>No PIP</v>
      </c>
      <c r="O603" t="str">
        <f t="shared" ca="1" si="49"/>
        <v>Eligible</v>
      </c>
    </row>
    <row r="604" spans="1:15" x14ac:dyDescent="0.25">
      <c r="A604" t="s">
        <v>35</v>
      </c>
      <c r="B604">
        <v>40</v>
      </c>
      <c r="C604">
        <v>50000</v>
      </c>
      <c r="D604" t="s">
        <v>9</v>
      </c>
      <c r="E604" t="s">
        <v>20</v>
      </c>
      <c r="F604" t="s">
        <v>16</v>
      </c>
      <c r="G604" s="1">
        <v>43549</v>
      </c>
      <c r="H604" s="1" t="s">
        <v>29</v>
      </c>
      <c r="I604" s="1" t="s">
        <v>44</v>
      </c>
      <c r="J604" s="1" t="s">
        <v>19</v>
      </c>
      <c r="K604" s="4">
        <f t="shared" ca="1" si="45"/>
        <v>7.1</v>
      </c>
      <c r="L604" t="str">
        <f t="shared" si="46"/>
        <v>Low</v>
      </c>
      <c r="M604" t="str">
        <f t="shared" si="47"/>
        <v>Medium</v>
      </c>
      <c r="N604" t="str">
        <f t="shared" si="48"/>
        <v>No PIP</v>
      </c>
      <c r="O604" t="str">
        <f t="shared" ca="1" si="49"/>
        <v>Not Eligible</v>
      </c>
    </row>
    <row r="605" spans="1:15" x14ac:dyDescent="0.25">
      <c r="A605" t="s">
        <v>36</v>
      </c>
      <c r="B605">
        <v>30</v>
      </c>
      <c r="C605">
        <v>60000</v>
      </c>
      <c r="D605" t="s">
        <v>14</v>
      </c>
      <c r="E605" t="s">
        <v>10</v>
      </c>
      <c r="F605" t="s">
        <v>16</v>
      </c>
      <c r="G605" s="1">
        <v>43549</v>
      </c>
      <c r="H605" s="1" t="s">
        <v>17</v>
      </c>
      <c r="I605" s="1" t="s">
        <v>18</v>
      </c>
      <c r="J605" s="1" t="s">
        <v>44</v>
      </c>
      <c r="K605" s="4">
        <f t="shared" ca="1" si="45"/>
        <v>7.1</v>
      </c>
      <c r="L605" t="str">
        <f t="shared" si="46"/>
        <v>Medium</v>
      </c>
      <c r="M605" t="str">
        <f t="shared" si="47"/>
        <v>Low</v>
      </c>
      <c r="N605" t="str">
        <f t="shared" si="48"/>
        <v>PIP</v>
      </c>
      <c r="O605" t="str">
        <f t="shared" ca="1" si="49"/>
        <v>Not Eligible</v>
      </c>
    </row>
    <row r="606" spans="1:15" x14ac:dyDescent="0.25">
      <c r="A606" t="s">
        <v>35</v>
      </c>
      <c r="B606">
        <v>50</v>
      </c>
      <c r="C606">
        <v>70000</v>
      </c>
      <c r="D606" t="s">
        <v>14</v>
      </c>
      <c r="E606" t="s">
        <v>15</v>
      </c>
      <c r="F606" t="s">
        <v>28</v>
      </c>
      <c r="G606" s="1">
        <v>43549</v>
      </c>
      <c r="H606" s="1" t="s">
        <v>24</v>
      </c>
      <c r="I606" s="1" t="s">
        <v>44</v>
      </c>
      <c r="J606" s="1" t="s">
        <v>44</v>
      </c>
      <c r="K606" s="4">
        <f t="shared" ca="1" si="45"/>
        <v>7.1</v>
      </c>
      <c r="L606" t="str">
        <f t="shared" si="46"/>
        <v>High</v>
      </c>
      <c r="M606" t="str">
        <f t="shared" si="47"/>
        <v>High</v>
      </c>
      <c r="N606" t="str">
        <f t="shared" si="48"/>
        <v>No PIP</v>
      </c>
      <c r="O606" t="str">
        <f t="shared" ca="1" si="49"/>
        <v>Eligible</v>
      </c>
    </row>
    <row r="607" spans="1:15" x14ac:dyDescent="0.25">
      <c r="A607" t="s">
        <v>34</v>
      </c>
      <c r="B607">
        <v>40</v>
      </c>
      <c r="C607">
        <v>60216</v>
      </c>
      <c r="D607" t="s">
        <v>14</v>
      </c>
      <c r="E607" t="s">
        <v>27</v>
      </c>
      <c r="F607" t="s">
        <v>16</v>
      </c>
      <c r="G607" s="1">
        <v>43549</v>
      </c>
      <c r="H607" s="1" t="s">
        <v>29</v>
      </c>
      <c r="I607" s="1" t="s">
        <v>44</v>
      </c>
      <c r="J607" s="1" t="s">
        <v>44</v>
      </c>
      <c r="K607" s="4">
        <f t="shared" ca="1" si="45"/>
        <v>7.1</v>
      </c>
      <c r="L607" t="str">
        <f t="shared" si="46"/>
        <v>Medium</v>
      </c>
      <c r="M607" t="str">
        <f t="shared" si="47"/>
        <v>Medium</v>
      </c>
      <c r="N607" t="str">
        <f t="shared" si="48"/>
        <v>No PIP</v>
      </c>
      <c r="O607" t="str">
        <f t="shared" ca="1" si="49"/>
        <v>Not Eligible</v>
      </c>
    </row>
    <row r="608" spans="1:15" x14ac:dyDescent="0.25">
      <c r="A608" t="s">
        <v>37</v>
      </c>
      <c r="B608">
        <v>40</v>
      </c>
      <c r="C608">
        <v>55000</v>
      </c>
      <c r="D608" t="s">
        <v>14</v>
      </c>
      <c r="E608" t="s">
        <v>15</v>
      </c>
      <c r="F608" t="s">
        <v>31</v>
      </c>
      <c r="G608" s="1">
        <v>43549</v>
      </c>
      <c r="H608" s="1" t="s">
        <v>24</v>
      </c>
      <c r="I608" s="1" t="s">
        <v>18</v>
      </c>
      <c r="J608" s="1" t="s">
        <v>22</v>
      </c>
      <c r="K608" s="4">
        <f t="shared" ca="1" si="45"/>
        <v>7.1</v>
      </c>
      <c r="L608" t="str">
        <f t="shared" si="46"/>
        <v>Low</v>
      </c>
      <c r="M608" t="str">
        <f t="shared" si="47"/>
        <v>High</v>
      </c>
      <c r="N608" t="str">
        <f t="shared" si="48"/>
        <v>No PIP</v>
      </c>
      <c r="O608" t="str">
        <f t="shared" ca="1" si="49"/>
        <v>Eligible</v>
      </c>
    </row>
    <row r="609" spans="1:15" x14ac:dyDescent="0.25">
      <c r="A609" t="s">
        <v>35</v>
      </c>
      <c r="B609">
        <v>30</v>
      </c>
      <c r="C609">
        <v>60000</v>
      </c>
      <c r="D609" t="s">
        <v>9</v>
      </c>
      <c r="E609" t="s">
        <v>10</v>
      </c>
      <c r="F609" t="s">
        <v>30</v>
      </c>
      <c r="G609" s="1">
        <v>43549</v>
      </c>
      <c r="H609" s="1" t="s">
        <v>21</v>
      </c>
      <c r="I609" s="1" t="s">
        <v>13</v>
      </c>
      <c r="J609" s="1" t="s">
        <v>44</v>
      </c>
      <c r="K609" s="4">
        <f t="shared" ca="1" si="45"/>
        <v>7.1</v>
      </c>
      <c r="L609" t="str">
        <f t="shared" si="46"/>
        <v>Medium</v>
      </c>
      <c r="M609" t="str">
        <f t="shared" si="47"/>
        <v>Medium</v>
      </c>
      <c r="N609" t="str">
        <f t="shared" si="48"/>
        <v>No PIP</v>
      </c>
      <c r="O609" t="str">
        <f t="shared" ca="1" si="49"/>
        <v>Not Eligible</v>
      </c>
    </row>
    <row r="610" spans="1:15" x14ac:dyDescent="0.25">
      <c r="A610" t="s">
        <v>39</v>
      </c>
      <c r="B610">
        <v>25</v>
      </c>
      <c r="C610">
        <v>55000</v>
      </c>
      <c r="D610" t="s">
        <v>26</v>
      </c>
      <c r="E610" t="s">
        <v>27</v>
      </c>
      <c r="F610" t="s">
        <v>11</v>
      </c>
      <c r="G610" s="1">
        <v>43549</v>
      </c>
      <c r="H610" s="1" t="s">
        <v>21</v>
      </c>
      <c r="I610" s="1" t="s">
        <v>44</v>
      </c>
      <c r="J610" s="1" t="s">
        <v>44</v>
      </c>
      <c r="K610" s="4">
        <f t="shared" ca="1" si="45"/>
        <v>7.1</v>
      </c>
      <c r="L610" t="str">
        <f t="shared" si="46"/>
        <v>Low</v>
      </c>
      <c r="M610" t="str">
        <f t="shared" si="47"/>
        <v>Medium</v>
      </c>
      <c r="N610" t="str">
        <f t="shared" si="48"/>
        <v>No PIP</v>
      </c>
      <c r="O610" t="str">
        <f t="shared" ca="1" si="49"/>
        <v>Not Eligible</v>
      </c>
    </row>
    <row r="611" spans="1:15" x14ac:dyDescent="0.25">
      <c r="A611" t="s">
        <v>38</v>
      </c>
      <c r="B611">
        <v>35</v>
      </c>
      <c r="C611">
        <v>50000</v>
      </c>
      <c r="D611" t="s">
        <v>9</v>
      </c>
      <c r="E611" t="s">
        <v>27</v>
      </c>
      <c r="F611" t="s">
        <v>28</v>
      </c>
      <c r="G611" s="1">
        <v>43800</v>
      </c>
      <c r="H611" s="1" t="s">
        <v>29</v>
      </c>
      <c r="I611" s="1" t="s">
        <v>44</v>
      </c>
      <c r="J611" s="1" t="s">
        <v>19</v>
      </c>
      <c r="K611" s="4">
        <f t="shared" ca="1" si="45"/>
        <v>6.4</v>
      </c>
      <c r="L611" t="str">
        <f t="shared" si="46"/>
        <v>Low</v>
      </c>
      <c r="M611" t="str">
        <f t="shared" si="47"/>
        <v>Medium</v>
      </c>
      <c r="N611" t="str">
        <f t="shared" si="48"/>
        <v>No PIP</v>
      </c>
      <c r="O611" t="str">
        <f t="shared" ca="1" si="49"/>
        <v>Not Eligible</v>
      </c>
    </row>
    <row r="612" spans="1:15" x14ac:dyDescent="0.25">
      <c r="A612" t="s">
        <v>34</v>
      </c>
      <c r="B612">
        <v>25</v>
      </c>
      <c r="C612">
        <v>70000</v>
      </c>
      <c r="D612" t="s">
        <v>9</v>
      </c>
      <c r="E612" t="s">
        <v>27</v>
      </c>
      <c r="F612" t="s">
        <v>31</v>
      </c>
      <c r="G612" s="1">
        <v>43800</v>
      </c>
      <c r="H612" s="1" t="s">
        <v>29</v>
      </c>
      <c r="I612" s="1" t="s">
        <v>44</v>
      </c>
      <c r="J612" s="1" t="s">
        <v>19</v>
      </c>
      <c r="K612" s="4">
        <f t="shared" ca="1" si="45"/>
        <v>6.4</v>
      </c>
      <c r="L612" t="str">
        <f t="shared" si="46"/>
        <v>High</v>
      </c>
      <c r="M612" t="str">
        <f t="shared" si="47"/>
        <v>Medium</v>
      </c>
      <c r="N612" t="str">
        <f t="shared" si="48"/>
        <v>No PIP</v>
      </c>
      <c r="O612" t="str">
        <f t="shared" ca="1" si="49"/>
        <v>Not Eligible</v>
      </c>
    </row>
    <row r="613" spans="1:15" x14ac:dyDescent="0.25">
      <c r="A613" t="s">
        <v>34</v>
      </c>
      <c r="B613">
        <v>25</v>
      </c>
      <c r="C613">
        <v>65000</v>
      </c>
      <c r="D613" t="s">
        <v>9</v>
      </c>
      <c r="E613" t="s">
        <v>10</v>
      </c>
      <c r="F613" t="s">
        <v>30</v>
      </c>
      <c r="G613" s="1">
        <v>43800</v>
      </c>
      <c r="H613" s="1" t="s">
        <v>21</v>
      </c>
      <c r="I613" s="1" t="s">
        <v>44</v>
      </c>
      <c r="J613" s="1" t="s">
        <v>32</v>
      </c>
      <c r="K613" s="4">
        <f t="shared" ca="1" si="45"/>
        <v>6.4</v>
      </c>
      <c r="L613" t="str">
        <f t="shared" si="46"/>
        <v>High</v>
      </c>
      <c r="M613" t="str">
        <f t="shared" si="47"/>
        <v>Medium</v>
      </c>
      <c r="N613" t="str">
        <f t="shared" si="48"/>
        <v>No PIP</v>
      </c>
      <c r="O613" t="str">
        <f t="shared" ca="1" si="49"/>
        <v>Not Eligible</v>
      </c>
    </row>
    <row r="614" spans="1:15" x14ac:dyDescent="0.25">
      <c r="A614" t="s">
        <v>42</v>
      </c>
      <c r="B614">
        <v>25</v>
      </c>
      <c r="C614">
        <v>55000</v>
      </c>
      <c r="D614" t="s">
        <v>14</v>
      </c>
      <c r="E614" t="s">
        <v>15</v>
      </c>
      <c r="F614" t="s">
        <v>11</v>
      </c>
      <c r="G614" s="1">
        <v>43800</v>
      </c>
      <c r="H614" s="1" t="s">
        <v>29</v>
      </c>
      <c r="I614" s="1" t="s">
        <v>25</v>
      </c>
      <c r="J614" s="1" t="s">
        <v>22</v>
      </c>
      <c r="K614" s="4">
        <f t="shared" ca="1" si="45"/>
        <v>6.4</v>
      </c>
      <c r="L614" t="str">
        <f t="shared" si="46"/>
        <v>Low</v>
      </c>
      <c r="M614" t="str">
        <f t="shared" si="47"/>
        <v>Medium</v>
      </c>
      <c r="N614" t="str">
        <f t="shared" si="48"/>
        <v>No PIP</v>
      </c>
      <c r="O614" t="str">
        <f t="shared" ca="1" si="49"/>
        <v>Not Eligible</v>
      </c>
    </row>
    <row r="615" spans="1:15" x14ac:dyDescent="0.25">
      <c r="A615" t="s">
        <v>38</v>
      </c>
      <c r="B615">
        <v>50</v>
      </c>
      <c r="C615">
        <v>70000</v>
      </c>
      <c r="D615" t="s">
        <v>14</v>
      </c>
      <c r="E615" t="s">
        <v>15</v>
      </c>
      <c r="F615" t="s">
        <v>28</v>
      </c>
      <c r="G615" s="1">
        <v>43800</v>
      </c>
      <c r="H615" s="1" t="s">
        <v>29</v>
      </c>
      <c r="I615" s="1" t="s">
        <v>44</v>
      </c>
      <c r="J615" s="1" t="s">
        <v>44</v>
      </c>
      <c r="K615" s="4">
        <f t="shared" ca="1" si="45"/>
        <v>6.4</v>
      </c>
      <c r="L615" t="str">
        <f t="shared" si="46"/>
        <v>High</v>
      </c>
      <c r="M615" t="str">
        <f t="shared" si="47"/>
        <v>Medium</v>
      </c>
      <c r="N615" t="str">
        <f t="shared" si="48"/>
        <v>No PIP</v>
      </c>
      <c r="O615" t="str">
        <f t="shared" ca="1" si="49"/>
        <v>Not Eligible</v>
      </c>
    </row>
    <row r="616" spans="1:15" x14ac:dyDescent="0.25">
      <c r="A616" t="s">
        <v>40</v>
      </c>
      <c r="B616">
        <v>35</v>
      </c>
      <c r="C616">
        <v>55000</v>
      </c>
      <c r="D616" t="s">
        <v>9</v>
      </c>
      <c r="E616" t="s">
        <v>10</v>
      </c>
      <c r="F616" t="s">
        <v>31</v>
      </c>
      <c r="G616" s="1">
        <v>43800</v>
      </c>
      <c r="H616" s="1" t="s">
        <v>29</v>
      </c>
      <c r="I616" s="1" t="s">
        <v>18</v>
      </c>
      <c r="J616" s="1" t="s">
        <v>19</v>
      </c>
      <c r="K616" s="4">
        <f t="shared" ca="1" si="45"/>
        <v>6.4</v>
      </c>
      <c r="L616" t="str">
        <f t="shared" si="46"/>
        <v>Low</v>
      </c>
      <c r="M616" t="str">
        <f t="shared" si="47"/>
        <v>Medium</v>
      </c>
      <c r="N616" t="str">
        <f t="shared" si="48"/>
        <v>No PIP</v>
      </c>
      <c r="O616" t="str">
        <f t="shared" ca="1" si="49"/>
        <v>Not Eligible</v>
      </c>
    </row>
    <row r="617" spans="1:15" x14ac:dyDescent="0.25">
      <c r="A617" t="s">
        <v>40</v>
      </c>
      <c r="B617">
        <v>30</v>
      </c>
      <c r="C617">
        <v>50000</v>
      </c>
      <c r="D617" t="s">
        <v>14</v>
      </c>
      <c r="E617" t="s">
        <v>15</v>
      </c>
      <c r="F617" t="s">
        <v>16</v>
      </c>
      <c r="G617" s="1">
        <v>43800</v>
      </c>
      <c r="H617" s="1" t="s">
        <v>21</v>
      </c>
      <c r="I617" s="1" t="s">
        <v>25</v>
      </c>
      <c r="J617" s="1" t="s">
        <v>22</v>
      </c>
      <c r="K617" s="4">
        <f t="shared" ca="1" si="45"/>
        <v>6.4</v>
      </c>
      <c r="L617" t="str">
        <f t="shared" si="46"/>
        <v>Low</v>
      </c>
      <c r="M617" t="str">
        <f t="shared" si="47"/>
        <v>Medium</v>
      </c>
      <c r="N617" t="str">
        <f t="shared" si="48"/>
        <v>No PIP</v>
      </c>
      <c r="O617" t="str">
        <f t="shared" ca="1" si="49"/>
        <v>Not Eligible</v>
      </c>
    </row>
    <row r="618" spans="1:15" x14ac:dyDescent="0.25">
      <c r="A618" t="s">
        <v>34</v>
      </c>
      <c r="B618">
        <v>35</v>
      </c>
      <c r="C618">
        <v>60216</v>
      </c>
      <c r="D618" t="s">
        <v>9</v>
      </c>
      <c r="E618" t="s">
        <v>20</v>
      </c>
      <c r="F618" t="s">
        <v>30</v>
      </c>
      <c r="G618" s="1">
        <v>43800</v>
      </c>
      <c r="H618" s="1" t="s">
        <v>17</v>
      </c>
      <c r="I618" s="1" t="s">
        <v>18</v>
      </c>
      <c r="J618" s="1" t="s">
        <v>22</v>
      </c>
      <c r="K618" s="4">
        <f t="shared" ca="1" si="45"/>
        <v>6.4</v>
      </c>
      <c r="L618" t="str">
        <f t="shared" si="46"/>
        <v>Medium</v>
      </c>
      <c r="M618" t="str">
        <f t="shared" si="47"/>
        <v>Low</v>
      </c>
      <c r="N618" t="str">
        <f t="shared" si="48"/>
        <v>PIP</v>
      </c>
      <c r="O618" t="str">
        <f t="shared" ca="1" si="49"/>
        <v>Not Eligible</v>
      </c>
    </row>
    <row r="619" spans="1:15" x14ac:dyDescent="0.25">
      <c r="A619" t="s">
        <v>35</v>
      </c>
      <c r="B619">
        <v>30</v>
      </c>
      <c r="C619">
        <v>70000</v>
      </c>
      <c r="D619" t="s">
        <v>14</v>
      </c>
      <c r="E619" t="s">
        <v>27</v>
      </c>
      <c r="F619" t="s">
        <v>11</v>
      </c>
      <c r="G619" s="1">
        <v>43800</v>
      </c>
      <c r="H619" s="1" t="s">
        <v>12</v>
      </c>
      <c r="I619" s="1" t="s">
        <v>44</v>
      </c>
      <c r="J619" s="1" t="s">
        <v>22</v>
      </c>
      <c r="K619" s="4">
        <f t="shared" ca="1" si="45"/>
        <v>6.4</v>
      </c>
      <c r="L619" t="str">
        <f t="shared" si="46"/>
        <v>High</v>
      </c>
      <c r="M619" t="str">
        <f t="shared" si="47"/>
        <v>Low</v>
      </c>
      <c r="N619" t="str">
        <f t="shared" si="48"/>
        <v>PIP</v>
      </c>
      <c r="O619" t="str">
        <f t="shared" ca="1" si="49"/>
        <v>Not Eligible</v>
      </c>
    </row>
    <row r="620" spans="1:15" x14ac:dyDescent="0.25">
      <c r="A620" t="s">
        <v>35</v>
      </c>
      <c r="B620">
        <v>40</v>
      </c>
      <c r="C620">
        <v>60216</v>
      </c>
      <c r="D620" t="s">
        <v>9</v>
      </c>
      <c r="E620" t="s">
        <v>20</v>
      </c>
      <c r="F620" t="s">
        <v>16</v>
      </c>
      <c r="G620" s="1">
        <v>43800</v>
      </c>
      <c r="H620" s="1" t="s">
        <v>17</v>
      </c>
      <c r="I620" s="1" t="s">
        <v>44</v>
      </c>
      <c r="J620" s="1" t="s">
        <v>44</v>
      </c>
      <c r="K620" s="4">
        <f t="shared" ca="1" si="45"/>
        <v>6.4</v>
      </c>
      <c r="L620" t="str">
        <f t="shared" si="46"/>
        <v>Medium</v>
      </c>
      <c r="M620" t="str">
        <f t="shared" si="47"/>
        <v>Low</v>
      </c>
      <c r="N620" t="str">
        <f t="shared" si="48"/>
        <v>PIP</v>
      </c>
      <c r="O620" t="str">
        <f t="shared" ca="1" si="49"/>
        <v>Not Eligible</v>
      </c>
    </row>
    <row r="621" spans="1:15" x14ac:dyDescent="0.25">
      <c r="A621" t="s">
        <v>42</v>
      </c>
      <c r="B621">
        <v>50</v>
      </c>
      <c r="C621">
        <v>55000</v>
      </c>
      <c r="D621" t="s">
        <v>14</v>
      </c>
      <c r="E621" t="s">
        <v>27</v>
      </c>
      <c r="F621" t="s">
        <v>31</v>
      </c>
      <c r="G621" s="1">
        <v>43800</v>
      </c>
      <c r="H621" s="1" t="s">
        <v>24</v>
      </c>
      <c r="I621" s="1" t="s">
        <v>18</v>
      </c>
      <c r="J621" s="1" t="s">
        <v>44</v>
      </c>
      <c r="K621" s="4">
        <f t="shared" ca="1" si="45"/>
        <v>6.4</v>
      </c>
      <c r="L621" t="str">
        <f t="shared" si="46"/>
        <v>Low</v>
      </c>
      <c r="M621" t="str">
        <f t="shared" si="47"/>
        <v>High</v>
      </c>
      <c r="N621" t="str">
        <f t="shared" si="48"/>
        <v>No PIP</v>
      </c>
      <c r="O621" t="str">
        <f t="shared" ca="1" si="49"/>
        <v>Eligible</v>
      </c>
    </row>
    <row r="622" spans="1:15" x14ac:dyDescent="0.25">
      <c r="A622" t="s">
        <v>35</v>
      </c>
      <c r="B622">
        <v>25</v>
      </c>
      <c r="C622">
        <v>70000</v>
      </c>
      <c r="D622" t="s">
        <v>26</v>
      </c>
      <c r="E622" t="s">
        <v>10</v>
      </c>
      <c r="F622" t="s">
        <v>31</v>
      </c>
      <c r="G622" s="1">
        <v>43800</v>
      </c>
      <c r="H622" s="1" t="s">
        <v>17</v>
      </c>
      <c r="I622" s="1" t="s">
        <v>18</v>
      </c>
      <c r="J622" s="1" t="s">
        <v>22</v>
      </c>
      <c r="K622" s="4">
        <f t="shared" ca="1" si="45"/>
        <v>6.4</v>
      </c>
      <c r="L622" t="str">
        <f t="shared" si="46"/>
        <v>High</v>
      </c>
      <c r="M622" t="str">
        <f t="shared" si="47"/>
        <v>Low</v>
      </c>
      <c r="N622" t="str">
        <f t="shared" si="48"/>
        <v>PIP</v>
      </c>
      <c r="O622" t="str">
        <f t="shared" ca="1" si="49"/>
        <v>Not Eligible</v>
      </c>
    </row>
    <row r="623" spans="1:15" x14ac:dyDescent="0.25">
      <c r="A623" t="s">
        <v>42</v>
      </c>
      <c r="B623">
        <v>35</v>
      </c>
      <c r="C623">
        <v>70000</v>
      </c>
      <c r="D623" t="s">
        <v>14</v>
      </c>
      <c r="E623" t="s">
        <v>27</v>
      </c>
      <c r="F623" t="s">
        <v>11</v>
      </c>
      <c r="G623" s="1">
        <v>43800</v>
      </c>
      <c r="H623" s="1" t="s">
        <v>12</v>
      </c>
      <c r="I623" s="1" t="s">
        <v>18</v>
      </c>
      <c r="J623" s="1" t="s">
        <v>32</v>
      </c>
      <c r="K623" s="4">
        <f t="shared" ca="1" si="45"/>
        <v>6.4</v>
      </c>
      <c r="L623" t="str">
        <f t="shared" si="46"/>
        <v>High</v>
      </c>
      <c r="M623" t="str">
        <f t="shared" si="47"/>
        <v>Low</v>
      </c>
      <c r="N623" t="str">
        <f t="shared" si="48"/>
        <v>PIP</v>
      </c>
      <c r="O623" t="str">
        <f t="shared" ca="1" si="49"/>
        <v>Not Eligible</v>
      </c>
    </row>
    <row r="624" spans="1:15" x14ac:dyDescent="0.25">
      <c r="A624" t="s">
        <v>42</v>
      </c>
      <c r="B624">
        <v>50</v>
      </c>
      <c r="C624">
        <v>55000</v>
      </c>
      <c r="D624" t="s">
        <v>26</v>
      </c>
      <c r="E624" t="s">
        <v>20</v>
      </c>
      <c r="F624" t="s">
        <v>30</v>
      </c>
      <c r="G624" s="1">
        <v>43800</v>
      </c>
      <c r="H624" s="1" t="s">
        <v>17</v>
      </c>
      <c r="I624" s="1" t="s">
        <v>44</v>
      </c>
      <c r="J624" s="1" t="s">
        <v>44</v>
      </c>
      <c r="K624" s="4">
        <f t="shared" ca="1" si="45"/>
        <v>6.4</v>
      </c>
      <c r="L624" t="str">
        <f t="shared" si="46"/>
        <v>Low</v>
      </c>
      <c r="M624" t="str">
        <f t="shared" si="47"/>
        <v>Low</v>
      </c>
      <c r="N624" t="str">
        <f t="shared" si="48"/>
        <v>PIP</v>
      </c>
      <c r="O624" t="str">
        <f t="shared" ca="1" si="49"/>
        <v>Not Eligible</v>
      </c>
    </row>
    <row r="625" spans="1:15" x14ac:dyDescent="0.25">
      <c r="A625" t="s">
        <v>41</v>
      </c>
      <c r="B625">
        <v>40</v>
      </c>
      <c r="C625">
        <v>65000</v>
      </c>
      <c r="D625" t="s">
        <v>26</v>
      </c>
      <c r="E625" t="s">
        <v>15</v>
      </c>
      <c r="F625" t="s">
        <v>30</v>
      </c>
      <c r="G625" s="1">
        <v>43800</v>
      </c>
      <c r="H625" s="1" t="s">
        <v>24</v>
      </c>
      <c r="I625" s="1" t="s">
        <v>13</v>
      </c>
      <c r="J625" s="1" t="s">
        <v>44</v>
      </c>
      <c r="K625" s="4">
        <f t="shared" ca="1" si="45"/>
        <v>6.4</v>
      </c>
      <c r="L625" t="str">
        <f t="shared" si="46"/>
        <v>High</v>
      </c>
      <c r="M625" t="str">
        <f t="shared" si="47"/>
        <v>High</v>
      </c>
      <c r="N625" t="str">
        <f t="shared" si="48"/>
        <v>No PIP</v>
      </c>
      <c r="O625" t="str">
        <f t="shared" ca="1" si="49"/>
        <v>Eligible</v>
      </c>
    </row>
    <row r="626" spans="1:15" x14ac:dyDescent="0.25">
      <c r="A626" t="s">
        <v>38</v>
      </c>
      <c r="B626">
        <v>35</v>
      </c>
      <c r="C626">
        <v>60216</v>
      </c>
      <c r="D626" t="s">
        <v>26</v>
      </c>
      <c r="E626" t="s">
        <v>27</v>
      </c>
      <c r="F626" t="s">
        <v>30</v>
      </c>
      <c r="G626" s="1">
        <v>43800</v>
      </c>
      <c r="H626" s="1" t="s">
        <v>17</v>
      </c>
      <c r="I626" s="1" t="s">
        <v>18</v>
      </c>
      <c r="J626" s="1" t="s">
        <v>19</v>
      </c>
      <c r="K626" s="4">
        <f t="shared" ca="1" si="45"/>
        <v>6.4</v>
      </c>
      <c r="L626" t="str">
        <f t="shared" si="46"/>
        <v>Medium</v>
      </c>
      <c r="M626" t="str">
        <f t="shared" si="47"/>
        <v>Low</v>
      </c>
      <c r="N626" t="str">
        <f t="shared" si="48"/>
        <v>PIP</v>
      </c>
      <c r="O626" t="str">
        <f t="shared" ca="1" si="49"/>
        <v>Not Eligible</v>
      </c>
    </row>
    <row r="627" spans="1:15" x14ac:dyDescent="0.25">
      <c r="A627" t="s">
        <v>33</v>
      </c>
      <c r="B627">
        <v>25</v>
      </c>
      <c r="C627">
        <v>60000</v>
      </c>
      <c r="D627" t="s">
        <v>14</v>
      </c>
      <c r="E627" t="s">
        <v>15</v>
      </c>
      <c r="F627" t="s">
        <v>28</v>
      </c>
      <c r="G627" s="1">
        <v>43800</v>
      </c>
      <c r="H627" s="1" t="s">
        <v>17</v>
      </c>
      <c r="I627" s="1" t="s">
        <v>44</v>
      </c>
      <c r="J627" s="1" t="s">
        <v>32</v>
      </c>
      <c r="K627" s="4">
        <f t="shared" ca="1" si="45"/>
        <v>6.4</v>
      </c>
      <c r="L627" t="str">
        <f t="shared" si="46"/>
        <v>Medium</v>
      </c>
      <c r="M627" t="str">
        <f t="shared" si="47"/>
        <v>Low</v>
      </c>
      <c r="N627" t="str">
        <f t="shared" si="48"/>
        <v>PIP</v>
      </c>
      <c r="O627" t="str">
        <f t="shared" ca="1" si="49"/>
        <v>Not Eligible</v>
      </c>
    </row>
    <row r="628" spans="1:15" x14ac:dyDescent="0.25">
      <c r="A628" t="s">
        <v>33</v>
      </c>
      <c r="B628">
        <v>50</v>
      </c>
      <c r="C628">
        <v>70000</v>
      </c>
      <c r="D628" t="s">
        <v>9</v>
      </c>
      <c r="E628" t="s">
        <v>10</v>
      </c>
      <c r="F628" t="s">
        <v>11</v>
      </c>
      <c r="G628" s="1">
        <v>43800</v>
      </c>
      <c r="H628" s="1" t="s">
        <v>29</v>
      </c>
      <c r="I628" s="1" t="s">
        <v>13</v>
      </c>
      <c r="J628" s="1" t="s">
        <v>32</v>
      </c>
      <c r="K628" s="4">
        <f t="shared" ca="1" si="45"/>
        <v>6.4</v>
      </c>
      <c r="L628" t="str">
        <f t="shared" si="46"/>
        <v>High</v>
      </c>
      <c r="M628" t="str">
        <f t="shared" si="47"/>
        <v>Medium</v>
      </c>
      <c r="N628" t="str">
        <f t="shared" si="48"/>
        <v>No PIP</v>
      </c>
      <c r="O628" t="str">
        <f t="shared" ca="1" si="49"/>
        <v>Not Eligible</v>
      </c>
    </row>
    <row r="629" spans="1:15" x14ac:dyDescent="0.25">
      <c r="A629" t="s">
        <v>39</v>
      </c>
      <c r="B629">
        <v>30</v>
      </c>
      <c r="C629">
        <v>60216</v>
      </c>
      <c r="D629" t="s">
        <v>9</v>
      </c>
      <c r="E629" t="s">
        <v>10</v>
      </c>
      <c r="F629" t="s">
        <v>28</v>
      </c>
      <c r="G629" s="1">
        <v>43800</v>
      </c>
      <c r="H629" s="1" t="s">
        <v>24</v>
      </c>
      <c r="I629" s="1" t="s">
        <v>44</v>
      </c>
      <c r="J629" s="1" t="s">
        <v>44</v>
      </c>
      <c r="K629" s="4">
        <f t="shared" ca="1" si="45"/>
        <v>6.4</v>
      </c>
      <c r="L629" t="str">
        <f t="shared" si="46"/>
        <v>Medium</v>
      </c>
      <c r="M629" t="str">
        <f t="shared" si="47"/>
        <v>High</v>
      </c>
      <c r="N629" t="str">
        <f t="shared" si="48"/>
        <v>No PIP</v>
      </c>
      <c r="O629" t="str">
        <f t="shared" ca="1" si="49"/>
        <v>Eligible</v>
      </c>
    </row>
    <row r="630" spans="1:15" x14ac:dyDescent="0.25">
      <c r="A630" t="s">
        <v>38</v>
      </c>
      <c r="B630">
        <v>50</v>
      </c>
      <c r="C630">
        <v>60000</v>
      </c>
      <c r="D630" t="s">
        <v>26</v>
      </c>
      <c r="E630" t="s">
        <v>10</v>
      </c>
      <c r="F630" t="s">
        <v>28</v>
      </c>
      <c r="G630" s="1">
        <v>43800</v>
      </c>
      <c r="H630" s="1" t="s">
        <v>24</v>
      </c>
      <c r="I630" s="1" t="s">
        <v>13</v>
      </c>
      <c r="J630" s="1" t="s">
        <v>32</v>
      </c>
      <c r="K630" s="4">
        <f t="shared" ca="1" si="45"/>
        <v>6.4</v>
      </c>
      <c r="L630" t="str">
        <f t="shared" si="46"/>
        <v>Medium</v>
      </c>
      <c r="M630" t="str">
        <f t="shared" si="47"/>
        <v>High</v>
      </c>
      <c r="N630" t="str">
        <f t="shared" si="48"/>
        <v>No PIP</v>
      </c>
      <c r="O630" t="str">
        <f t="shared" ca="1" si="49"/>
        <v>Eligible</v>
      </c>
    </row>
    <row r="631" spans="1:15" x14ac:dyDescent="0.25">
      <c r="A631" t="s">
        <v>38</v>
      </c>
      <c r="B631">
        <v>35</v>
      </c>
      <c r="C631">
        <v>60216</v>
      </c>
      <c r="D631" t="s">
        <v>26</v>
      </c>
      <c r="E631" t="s">
        <v>23</v>
      </c>
      <c r="F631" t="s">
        <v>11</v>
      </c>
      <c r="G631" s="1">
        <v>43800</v>
      </c>
      <c r="H631" s="1" t="s">
        <v>17</v>
      </c>
      <c r="I631" s="1" t="s">
        <v>18</v>
      </c>
      <c r="J631" s="1" t="s">
        <v>44</v>
      </c>
      <c r="K631" s="4">
        <f t="shared" ca="1" si="45"/>
        <v>6.4</v>
      </c>
      <c r="L631" t="str">
        <f t="shared" si="46"/>
        <v>Medium</v>
      </c>
      <c r="M631" t="str">
        <f t="shared" si="47"/>
        <v>Low</v>
      </c>
      <c r="N631" t="str">
        <f t="shared" si="48"/>
        <v>PIP</v>
      </c>
      <c r="O631" t="str">
        <f t="shared" ca="1" si="49"/>
        <v>Not Eligible</v>
      </c>
    </row>
    <row r="632" spans="1:15" x14ac:dyDescent="0.25">
      <c r="A632" t="s">
        <v>38</v>
      </c>
      <c r="B632">
        <v>25</v>
      </c>
      <c r="C632">
        <v>65000</v>
      </c>
      <c r="D632" t="s">
        <v>14</v>
      </c>
      <c r="E632" t="s">
        <v>10</v>
      </c>
      <c r="F632" t="s">
        <v>31</v>
      </c>
      <c r="G632" s="1">
        <v>43800</v>
      </c>
      <c r="H632" s="1" t="s">
        <v>24</v>
      </c>
      <c r="I632" s="1" t="s">
        <v>44</v>
      </c>
      <c r="J632" s="1" t="s">
        <v>22</v>
      </c>
      <c r="K632" s="4">
        <f t="shared" ca="1" si="45"/>
        <v>6.4</v>
      </c>
      <c r="L632" t="str">
        <f t="shared" si="46"/>
        <v>High</v>
      </c>
      <c r="M632" t="str">
        <f t="shared" si="47"/>
        <v>High</v>
      </c>
      <c r="N632" t="str">
        <f t="shared" si="48"/>
        <v>No PIP</v>
      </c>
      <c r="O632" t="str">
        <f t="shared" ca="1" si="49"/>
        <v>Eligible</v>
      </c>
    </row>
    <row r="633" spans="1:15" x14ac:dyDescent="0.25">
      <c r="A633" t="s">
        <v>41</v>
      </c>
      <c r="B633">
        <v>40</v>
      </c>
      <c r="C633">
        <v>70000</v>
      </c>
      <c r="D633" t="s">
        <v>26</v>
      </c>
      <c r="E633" t="s">
        <v>23</v>
      </c>
      <c r="F633" t="s">
        <v>16</v>
      </c>
      <c r="G633" s="1">
        <v>43800</v>
      </c>
      <c r="H633" s="1" t="s">
        <v>12</v>
      </c>
      <c r="I633" s="1" t="s">
        <v>25</v>
      </c>
      <c r="J633" s="1" t="s">
        <v>32</v>
      </c>
      <c r="K633" s="4">
        <f t="shared" ca="1" si="45"/>
        <v>6.4</v>
      </c>
      <c r="L633" t="str">
        <f t="shared" si="46"/>
        <v>High</v>
      </c>
      <c r="M633" t="str">
        <f t="shared" si="47"/>
        <v>Low</v>
      </c>
      <c r="N633" t="str">
        <f t="shared" si="48"/>
        <v>PIP</v>
      </c>
      <c r="O633" t="str">
        <f t="shared" ca="1" si="49"/>
        <v>Not Eligible</v>
      </c>
    </row>
    <row r="634" spans="1:15" x14ac:dyDescent="0.25">
      <c r="A634" t="s">
        <v>33</v>
      </c>
      <c r="B634">
        <v>30</v>
      </c>
      <c r="C634">
        <v>60000</v>
      </c>
      <c r="D634" t="s">
        <v>26</v>
      </c>
      <c r="E634" t="s">
        <v>20</v>
      </c>
      <c r="F634" t="s">
        <v>31</v>
      </c>
      <c r="G634" s="1">
        <v>43800</v>
      </c>
      <c r="H634" s="1" t="s">
        <v>21</v>
      </c>
      <c r="I634" s="1" t="s">
        <v>44</v>
      </c>
      <c r="J634" s="1" t="s">
        <v>22</v>
      </c>
      <c r="K634" s="4">
        <f t="shared" ca="1" si="45"/>
        <v>6.4</v>
      </c>
      <c r="L634" t="str">
        <f t="shared" si="46"/>
        <v>Medium</v>
      </c>
      <c r="M634" t="str">
        <f t="shared" si="47"/>
        <v>Medium</v>
      </c>
      <c r="N634" t="str">
        <f t="shared" si="48"/>
        <v>No PIP</v>
      </c>
      <c r="O634" t="str">
        <f t="shared" ca="1" si="49"/>
        <v>Not Eligible</v>
      </c>
    </row>
    <row r="635" spans="1:15" x14ac:dyDescent="0.25">
      <c r="A635" t="s">
        <v>33</v>
      </c>
      <c r="B635">
        <v>35</v>
      </c>
      <c r="C635">
        <v>70000</v>
      </c>
      <c r="D635" t="s">
        <v>26</v>
      </c>
      <c r="E635" t="s">
        <v>27</v>
      </c>
      <c r="F635" t="s">
        <v>16</v>
      </c>
      <c r="G635" s="1">
        <v>43800</v>
      </c>
      <c r="H635" s="1" t="s">
        <v>12</v>
      </c>
      <c r="I635" s="1" t="s">
        <v>44</v>
      </c>
      <c r="J635" s="1" t="s">
        <v>44</v>
      </c>
      <c r="K635" s="4">
        <f t="shared" ca="1" si="45"/>
        <v>6.4</v>
      </c>
      <c r="L635" t="str">
        <f t="shared" si="46"/>
        <v>High</v>
      </c>
      <c r="M635" t="str">
        <f t="shared" si="47"/>
        <v>Low</v>
      </c>
      <c r="N635" t="str">
        <f t="shared" si="48"/>
        <v>PIP</v>
      </c>
      <c r="O635" t="str">
        <f t="shared" ca="1" si="49"/>
        <v>Not Eligible</v>
      </c>
    </row>
    <row r="636" spans="1:15" x14ac:dyDescent="0.25">
      <c r="A636" t="s">
        <v>34</v>
      </c>
      <c r="B636">
        <v>40</v>
      </c>
      <c r="C636">
        <v>50000</v>
      </c>
      <c r="D636" t="s">
        <v>26</v>
      </c>
      <c r="E636" t="s">
        <v>23</v>
      </c>
      <c r="F636" t="s">
        <v>28</v>
      </c>
      <c r="G636" s="1">
        <v>43800</v>
      </c>
      <c r="H636" s="1" t="s">
        <v>24</v>
      </c>
      <c r="I636" s="1" t="s">
        <v>13</v>
      </c>
      <c r="J636" s="1" t="s">
        <v>19</v>
      </c>
      <c r="K636" s="4">
        <f t="shared" ca="1" si="45"/>
        <v>6.4</v>
      </c>
      <c r="L636" t="str">
        <f t="shared" si="46"/>
        <v>Low</v>
      </c>
      <c r="M636" t="str">
        <f t="shared" si="47"/>
        <v>High</v>
      </c>
      <c r="N636" t="str">
        <f t="shared" si="48"/>
        <v>No PIP</v>
      </c>
      <c r="O636" t="str">
        <f t="shared" ca="1" si="49"/>
        <v>Eligible</v>
      </c>
    </row>
    <row r="637" spans="1:15" x14ac:dyDescent="0.25">
      <c r="A637" t="s">
        <v>33</v>
      </c>
      <c r="B637">
        <v>50</v>
      </c>
      <c r="C637">
        <v>60216</v>
      </c>
      <c r="D637" t="s">
        <v>9</v>
      </c>
      <c r="E637" t="s">
        <v>20</v>
      </c>
      <c r="F637" t="s">
        <v>30</v>
      </c>
      <c r="G637" s="1">
        <v>43800</v>
      </c>
      <c r="H637" s="1" t="s">
        <v>24</v>
      </c>
      <c r="I637" s="1" t="s">
        <v>25</v>
      </c>
      <c r="J637" s="1" t="s">
        <v>32</v>
      </c>
      <c r="K637" s="4">
        <f t="shared" ca="1" si="45"/>
        <v>6.4</v>
      </c>
      <c r="L637" t="str">
        <f t="shared" si="46"/>
        <v>Medium</v>
      </c>
      <c r="M637" t="str">
        <f t="shared" si="47"/>
        <v>High</v>
      </c>
      <c r="N637" t="str">
        <f t="shared" si="48"/>
        <v>No PIP</v>
      </c>
      <c r="O637" t="str">
        <f t="shared" ca="1" si="49"/>
        <v>Eligible</v>
      </c>
    </row>
    <row r="638" spans="1:15" x14ac:dyDescent="0.25">
      <c r="A638" t="s">
        <v>37</v>
      </c>
      <c r="B638">
        <v>35</v>
      </c>
      <c r="C638">
        <v>70000</v>
      </c>
      <c r="D638" t="s">
        <v>14</v>
      </c>
      <c r="E638" t="s">
        <v>27</v>
      </c>
      <c r="F638" t="s">
        <v>30</v>
      </c>
      <c r="G638" s="1">
        <v>43800</v>
      </c>
      <c r="H638" s="1" t="s">
        <v>12</v>
      </c>
      <c r="I638" s="1" t="s">
        <v>13</v>
      </c>
      <c r="J638" s="1" t="s">
        <v>19</v>
      </c>
      <c r="K638" s="4">
        <f t="shared" ca="1" si="45"/>
        <v>6.4</v>
      </c>
      <c r="L638" t="str">
        <f t="shared" si="46"/>
        <v>High</v>
      </c>
      <c r="M638" t="str">
        <f t="shared" si="47"/>
        <v>Low</v>
      </c>
      <c r="N638" t="str">
        <f t="shared" si="48"/>
        <v>PIP</v>
      </c>
      <c r="O638" t="str">
        <f t="shared" ca="1" si="49"/>
        <v>Not Eligible</v>
      </c>
    </row>
    <row r="639" spans="1:15" x14ac:dyDescent="0.25">
      <c r="A639" t="s">
        <v>42</v>
      </c>
      <c r="B639">
        <v>35</v>
      </c>
      <c r="C639">
        <v>65000</v>
      </c>
      <c r="D639" t="s">
        <v>26</v>
      </c>
      <c r="E639" t="s">
        <v>27</v>
      </c>
      <c r="F639" t="s">
        <v>11</v>
      </c>
      <c r="G639" s="1">
        <v>43800</v>
      </c>
      <c r="H639" s="1" t="s">
        <v>29</v>
      </c>
      <c r="I639" s="1" t="s">
        <v>13</v>
      </c>
      <c r="J639" s="1" t="s">
        <v>22</v>
      </c>
      <c r="K639" s="4">
        <f t="shared" ca="1" si="45"/>
        <v>6.4</v>
      </c>
      <c r="L639" t="str">
        <f t="shared" si="46"/>
        <v>High</v>
      </c>
      <c r="M639" t="str">
        <f t="shared" si="47"/>
        <v>Medium</v>
      </c>
      <c r="N639" t="str">
        <f t="shared" si="48"/>
        <v>No PIP</v>
      </c>
      <c r="O639" t="str">
        <f t="shared" ca="1" si="49"/>
        <v>Not Eligible</v>
      </c>
    </row>
    <row r="640" spans="1:15" x14ac:dyDescent="0.25">
      <c r="A640" t="s">
        <v>33</v>
      </c>
      <c r="B640">
        <v>35</v>
      </c>
      <c r="C640">
        <v>60216</v>
      </c>
      <c r="D640" t="s">
        <v>14</v>
      </c>
      <c r="E640" t="s">
        <v>10</v>
      </c>
      <c r="F640" t="s">
        <v>28</v>
      </c>
      <c r="G640" s="1">
        <v>43800</v>
      </c>
      <c r="H640" s="1" t="s">
        <v>24</v>
      </c>
      <c r="I640" s="1" t="s">
        <v>44</v>
      </c>
      <c r="J640" s="1" t="s">
        <v>22</v>
      </c>
      <c r="K640" s="4">
        <f t="shared" ca="1" si="45"/>
        <v>6.4</v>
      </c>
      <c r="L640" t="str">
        <f t="shared" si="46"/>
        <v>Medium</v>
      </c>
      <c r="M640" t="str">
        <f t="shared" si="47"/>
        <v>High</v>
      </c>
      <c r="N640" t="str">
        <f t="shared" si="48"/>
        <v>No PIP</v>
      </c>
      <c r="O640" t="str">
        <f t="shared" ca="1" si="49"/>
        <v>Eligible</v>
      </c>
    </row>
    <row r="641" spans="1:15" x14ac:dyDescent="0.25">
      <c r="A641" t="s">
        <v>34</v>
      </c>
      <c r="B641">
        <v>50</v>
      </c>
      <c r="C641">
        <v>55000</v>
      </c>
      <c r="D641" t="s">
        <v>14</v>
      </c>
      <c r="E641" t="s">
        <v>20</v>
      </c>
      <c r="F641" t="s">
        <v>31</v>
      </c>
      <c r="G641" s="1">
        <v>43800</v>
      </c>
      <c r="H641" s="1" t="s">
        <v>17</v>
      </c>
      <c r="I641" s="1" t="s">
        <v>13</v>
      </c>
      <c r="J641" s="1" t="s">
        <v>32</v>
      </c>
      <c r="K641" s="4">
        <f t="shared" ca="1" si="45"/>
        <v>6.4</v>
      </c>
      <c r="L641" t="str">
        <f t="shared" si="46"/>
        <v>Low</v>
      </c>
      <c r="M641" t="str">
        <f t="shared" si="47"/>
        <v>Low</v>
      </c>
      <c r="N641" t="str">
        <f t="shared" si="48"/>
        <v>PIP</v>
      </c>
      <c r="O641" t="str">
        <f t="shared" ca="1" si="49"/>
        <v>Not Eligible</v>
      </c>
    </row>
    <row r="642" spans="1:15" x14ac:dyDescent="0.25">
      <c r="A642" t="s">
        <v>36</v>
      </c>
      <c r="B642">
        <v>35</v>
      </c>
      <c r="C642">
        <v>65000</v>
      </c>
      <c r="D642" t="s">
        <v>26</v>
      </c>
      <c r="E642" t="s">
        <v>20</v>
      </c>
      <c r="F642" t="s">
        <v>30</v>
      </c>
      <c r="G642" s="1">
        <v>43800</v>
      </c>
      <c r="H642" s="1" t="s">
        <v>24</v>
      </c>
      <c r="I642" s="1" t="s">
        <v>44</v>
      </c>
      <c r="J642" s="1" t="s">
        <v>19</v>
      </c>
      <c r="K642" s="4">
        <f t="shared" ca="1" si="45"/>
        <v>6.4</v>
      </c>
      <c r="L642" t="str">
        <f t="shared" si="46"/>
        <v>High</v>
      </c>
      <c r="M642" t="str">
        <f t="shared" si="47"/>
        <v>High</v>
      </c>
      <c r="N642" t="str">
        <f t="shared" si="48"/>
        <v>No PIP</v>
      </c>
      <c r="O642" t="str">
        <f t="shared" ca="1" si="49"/>
        <v>Eligible</v>
      </c>
    </row>
    <row r="643" spans="1:15" x14ac:dyDescent="0.25">
      <c r="A643" t="s">
        <v>38</v>
      </c>
      <c r="B643">
        <v>40</v>
      </c>
      <c r="C643">
        <v>60000</v>
      </c>
      <c r="D643" t="s">
        <v>26</v>
      </c>
      <c r="E643" t="s">
        <v>10</v>
      </c>
      <c r="F643" t="s">
        <v>16</v>
      </c>
      <c r="G643" s="1">
        <v>43800</v>
      </c>
      <c r="H643" s="1" t="s">
        <v>17</v>
      </c>
      <c r="I643" s="1" t="s">
        <v>18</v>
      </c>
      <c r="J643" s="1" t="s">
        <v>44</v>
      </c>
      <c r="K643" s="4">
        <f t="shared" ref="K643:K706" ca="1" si="50">ROUND((TODAY()-G643)/365,1)</f>
        <v>6.4</v>
      </c>
      <c r="L643" t="str">
        <f t="shared" ref="L643:L706" si="51">IF(C643&lt;60000,"Low", IF(C643&lt;65000,"Medium","High"))</f>
        <v>Medium</v>
      </c>
      <c r="M643" t="str">
        <f t="shared" ref="M643:M706" si="52">IF(H643="A","High",IF(OR(H643="B",H643="C"),"Medium","Low"))</f>
        <v>Low</v>
      </c>
      <c r="N643" t="str">
        <f t="shared" ref="N643:N706" si="53">IF(M643="Low","PIP","No PIP")</f>
        <v>PIP</v>
      </c>
      <c r="O643" t="str">
        <f t="shared" ref="O643:O706" ca="1" si="54">IF(AND(M643="High",K643&gt;3),"Eligible","Not Eligible")</f>
        <v>Not Eligible</v>
      </c>
    </row>
    <row r="644" spans="1:15" x14ac:dyDescent="0.25">
      <c r="A644" t="s">
        <v>41</v>
      </c>
      <c r="B644">
        <v>40</v>
      </c>
      <c r="C644">
        <v>65000</v>
      </c>
      <c r="D644" t="s">
        <v>14</v>
      </c>
      <c r="E644" t="s">
        <v>27</v>
      </c>
      <c r="F644" t="s">
        <v>11</v>
      </c>
      <c r="G644" s="1">
        <v>43800</v>
      </c>
      <c r="H644" s="1" t="s">
        <v>29</v>
      </c>
      <c r="I644" s="1" t="s">
        <v>25</v>
      </c>
      <c r="J644" s="1" t="s">
        <v>32</v>
      </c>
      <c r="K644" s="4">
        <f t="shared" ca="1" si="50"/>
        <v>6.4</v>
      </c>
      <c r="L644" t="str">
        <f t="shared" si="51"/>
        <v>High</v>
      </c>
      <c r="M644" t="str">
        <f t="shared" si="52"/>
        <v>Medium</v>
      </c>
      <c r="N644" t="str">
        <f t="shared" si="53"/>
        <v>No PIP</v>
      </c>
      <c r="O644" t="str">
        <f t="shared" ca="1" si="54"/>
        <v>Not Eligible</v>
      </c>
    </row>
    <row r="645" spans="1:15" x14ac:dyDescent="0.25">
      <c r="A645" t="s">
        <v>36</v>
      </c>
      <c r="B645">
        <v>50</v>
      </c>
      <c r="C645">
        <v>65000</v>
      </c>
      <c r="D645" t="s">
        <v>14</v>
      </c>
      <c r="E645" t="s">
        <v>20</v>
      </c>
      <c r="F645" t="s">
        <v>31</v>
      </c>
      <c r="G645" s="1">
        <v>43800</v>
      </c>
      <c r="H645" s="1" t="s">
        <v>21</v>
      </c>
      <c r="I645" s="1" t="s">
        <v>44</v>
      </c>
      <c r="J645" s="1" t="s">
        <v>44</v>
      </c>
      <c r="K645" s="4">
        <f t="shared" ca="1" si="50"/>
        <v>6.4</v>
      </c>
      <c r="L645" t="str">
        <f t="shared" si="51"/>
        <v>High</v>
      </c>
      <c r="M645" t="str">
        <f t="shared" si="52"/>
        <v>Medium</v>
      </c>
      <c r="N645" t="str">
        <f t="shared" si="53"/>
        <v>No PIP</v>
      </c>
      <c r="O645" t="str">
        <f t="shared" ca="1" si="54"/>
        <v>Not Eligible</v>
      </c>
    </row>
    <row r="646" spans="1:15" x14ac:dyDescent="0.25">
      <c r="A646" t="s">
        <v>41</v>
      </c>
      <c r="B646">
        <v>25</v>
      </c>
      <c r="C646">
        <v>60000</v>
      </c>
      <c r="D646" t="s">
        <v>26</v>
      </c>
      <c r="E646" t="s">
        <v>15</v>
      </c>
      <c r="F646" t="s">
        <v>28</v>
      </c>
      <c r="G646" s="1">
        <v>43800</v>
      </c>
      <c r="H646" s="1" t="s">
        <v>21</v>
      </c>
      <c r="I646" s="1" t="s">
        <v>44</v>
      </c>
      <c r="J646" s="1" t="s">
        <v>19</v>
      </c>
      <c r="K646" s="4">
        <f t="shared" ca="1" si="50"/>
        <v>6.4</v>
      </c>
      <c r="L646" t="str">
        <f t="shared" si="51"/>
        <v>Medium</v>
      </c>
      <c r="M646" t="str">
        <f t="shared" si="52"/>
        <v>Medium</v>
      </c>
      <c r="N646" t="str">
        <f t="shared" si="53"/>
        <v>No PIP</v>
      </c>
      <c r="O646" t="str">
        <f t="shared" ca="1" si="54"/>
        <v>Not Eligible</v>
      </c>
    </row>
    <row r="647" spans="1:15" x14ac:dyDescent="0.25">
      <c r="A647" t="s">
        <v>37</v>
      </c>
      <c r="B647">
        <v>50</v>
      </c>
      <c r="C647">
        <v>70000</v>
      </c>
      <c r="D647" t="s">
        <v>14</v>
      </c>
      <c r="E647" t="s">
        <v>20</v>
      </c>
      <c r="F647" t="s">
        <v>28</v>
      </c>
      <c r="G647" s="1">
        <v>43800</v>
      </c>
      <c r="H647" s="1" t="s">
        <v>17</v>
      </c>
      <c r="I647" s="1" t="s">
        <v>18</v>
      </c>
      <c r="J647" s="1" t="s">
        <v>44</v>
      </c>
      <c r="K647" s="4">
        <f t="shared" ca="1" si="50"/>
        <v>6.4</v>
      </c>
      <c r="L647" t="str">
        <f t="shared" si="51"/>
        <v>High</v>
      </c>
      <c r="M647" t="str">
        <f t="shared" si="52"/>
        <v>Low</v>
      </c>
      <c r="N647" t="str">
        <f t="shared" si="53"/>
        <v>PIP</v>
      </c>
      <c r="O647" t="str">
        <f t="shared" ca="1" si="54"/>
        <v>Not Eligible</v>
      </c>
    </row>
    <row r="648" spans="1:15" x14ac:dyDescent="0.25">
      <c r="A648" t="s">
        <v>35</v>
      </c>
      <c r="B648">
        <v>40</v>
      </c>
      <c r="C648">
        <v>50000</v>
      </c>
      <c r="D648" t="s">
        <v>9</v>
      </c>
      <c r="E648" t="s">
        <v>15</v>
      </c>
      <c r="F648" t="s">
        <v>30</v>
      </c>
      <c r="G648" s="1">
        <v>43800</v>
      </c>
      <c r="H648" s="1" t="s">
        <v>12</v>
      </c>
      <c r="I648" s="1" t="s">
        <v>18</v>
      </c>
      <c r="J648" s="1" t="s">
        <v>22</v>
      </c>
      <c r="K648" s="4">
        <f t="shared" ca="1" si="50"/>
        <v>6.4</v>
      </c>
      <c r="L648" t="str">
        <f t="shared" si="51"/>
        <v>Low</v>
      </c>
      <c r="M648" t="str">
        <f t="shared" si="52"/>
        <v>Low</v>
      </c>
      <c r="N648" t="str">
        <f t="shared" si="53"/>
        <v>PIP</v>
      </c>
      <c r="O648" t="str">
        <f t="shared" ca="1" si="54"/>
        <v>Not Eligible</v>
      </c>
    </row>
    <row r="649" spans="1:15" x14ac:dyDescent="0.25">
      <c r="A649" t="s">
        <v>36</v>
      </c>
      <c r="B649">
        <v>25</v>
      </c>
      <c r="C649">
        <v>60216</v>
      </c>
      <c r="D649" t="s">
        <v>9</v>
      </c>
      <c r="E649" t="s">
        <v>27</v>
      </c>
      <c r="F649" t="s">
        <v>30</v>
      </c>
      <c r="G649" s="1">
        <v>43800</v>
      </c>
      <c r="H649" s="1" t="s">
        <v>12</v>
      </c>
      <c r="I649" s="1" t="s">
        <v>25</v>
      </c>
      <c r="J649" s="1" t="s">
        <v>44</v>
      </c>
      <c r="K649" s="4">
        <f t="shared" ca="1" si="50"/>
        <v>6.4</v>
      </c>
      <c r="L649" t="str">
        <f t="shared" si="51"/>
        <v>Medium</v>
      </c>
      <c r="M649" t="str">
        <f t="shared" si="52"/>
        <v>Low</v>
      </c>
      <c r="N649" t="str">
        <f t="shared" si="53"/>
        <v>PIP</v>
      </c>
      <c r="O649" t="str">
        <f t="shared" ca="1" si="54"/>
        <v>Not Eligible</v>
      </c>
    </row>
    <row r="650" spans="1:15" x14ac:dyDescent="0.25">
      <c r="A650" t="s">
        <v>39</v>
      </c>
      <c r="B650">
        <v>35</v>
      </c>
      <c r="C650">
        <v>60216</v>
      </c>
      <c r="D650" t="s">
        <v>9</v>
      </c>
      <c r="E650" t="s">
        <v>15</v>
      </c>
      <c r="F650" t="s">
        <v>31</v>
      </c>
      <c r="G650" s="1">
        <v>43800</v>
      </c>
      <c r="H650" s="1" t="s">
        <v>21</v>
      </c>
      <c r="I650" s="1" t="s">
        <v>25</v>
      </c>
      <c r="J650" s="1" t="s">
        <v>44</v>
      </c>
      <c r="K650" s="4">
        <f t="shared" ca="1" si="50"/>
        <v>6.4</v>
      </c>
      <c r="L650" t="str">
        <f t="shared" si="51"/>
        <v>Medium</v>
      </c>
      <c r="M650" t="str">
        <f t="shared" si="52"/>
        <v>Medium</v>
      </c>
      <c r="N650" t="str">
        <f t="shared" si="53"/>
        <v>No PIP</v>
      </c>
      <c r="O650" t="str">
        <f t="shared" ca="1" si="54"/>
        <v>Not Eligible</v>
      </c>
    </row>
    <row r="651" spans="1:15" x14ac:dyDescent="0.25">
      <c r="A651" t="s">
        <v>41</v>
      </c>
      <c r="B651">
        <v>50</v>
      </c>
      <c r="C651">
        <v>50000</v>
      </c>
      <c r="D651" t="s">
        <v>9</v>
      </c>
      <c r="E651" t="s">
        <v>23</v>
      </c>
      <c r="F651" t="s">
        <v>28</v>
      </c>
      <c r="G651" s="1">
        <v>43800</v>
      </c>
      <c r="H651" s="1" t="s">
        <v>17</v>
      </c>
      <c r="I651" s="1" t="s">
        <v>44</v>
      </c>
      <c r="J651" s="1" t="s">
        <v>22</v>
      </c>
      <c r="K651" s="4">
        <f t="shared" ca="1" si="50"/>
        <v>6.4</v>
      </c>
      <c r="L651" t="str">
        <f t="shared" si="51"/>
        <v>Low</v>
      </c>
      <c r="M651" t="str">
        <f t="shared" si="52"/>
        <v>Low</v>
      </c>
      <c r="N651" t="str">
        <f t="shared" si="53"/>
        <v>PIP</v>
      </c>
      <c r="O651" t="str">
        <f t="shared" ca="1" si="54"/>
        <v>Not Eligible</v>
      </c>
    </row>
    <row r="652" spans="1:15" x14ac:dyDescent="0.25">
      <c r="A652" t="s">
        <v>38</v>
      </c>
      <c r="B652">
        <v>30</v>
      </c>
      <c r="C652">
        <v>70000</v>
      </c>
      <c r="D652" t="s">
        <v>26</v>
      </c>
      <c r="E652" t="s">
        <v>23</v>
      </c>
      <c r="F652" t="s">
        <v>11</v>
      </c>
      <c r="G652" s="1">
        <v>43800</v>
      </c>
      <c r="H652" s="1" t="s">
        <v>24</v>
      </c>
      <c r="I652" s="1" t="s">
        <v>18</v>
      </c>
      <c r="J652" s="1" t="s">
        <v>44</v>
      </c>
      <c r="K652" s="4">
        <f t="shared" ca="1" si="50"/>
        <v>6.4</v>
      </c>
      <c r="L652" t="str">
        <f t="shared" si="51"/>
        <v>High</v>
      </c>
      <c r="M652" t="str">
        <f t="shared" si="52"/>
        <v>High</v>
      </c>
      <c r="N652" t="str">
        <f t="shared" si="53"/>
        <v>No PIP</v>
      </c>
      <c r="O652" t="str">
        <f t="shared" ca="1" si="54"/>
        <v>Eligible</v>
      </c>
    </row>
    <row r="653" spans="1:15" x14ac:dyDescent="0.25">
      <c r="A653" t="s">
        <v>34</v>
      </c>
      <c r="B653">
        <v>40</v>
      </c>
      <c r="C653">
        <v>60000</v>
      </c>
      <c r="D653" t="s">
        <v>14</v>
      </c>
      <c r="E653" t="s">
        <v>10</v>
      </c>
      <c r="F653" t="s">
        <v>11</v>
      </c>
      <c r="G653" s="1">
        <v>43800</v>
      </c>
      <c r="H653" s="1" t="s">
        <v>12</v>
      </c>
      <c r="I653" s="1" t="s">
        <v>18</v>
      </c>
      <c r="J653" s="1" t="s">
        <v>19</v>
      </c>
      <c r="K653" s="4">
        <f t="shared" ca="1" si="50"/>
        <v>6.4</v>
      </c>
      <c r="L653" t="str">
        <f t="shared" si="51"/>
        <v>Medium</v>
      </c>
      <c r="M653" t="str">
        <f t="shared" si="52"/>
        <v>Low</v>
      </c>
      <c r="N653" t="str">
        <f t="shared" si="53"/>
        <v>PIP</v>
      </c>
      <c r="O653" t="str">
        <f t="shared" ca="1" si="54"/>
        <v>Not Eligible</v>
      </c>
    </row>
    <row r="654" spans="1:15" x14ac:dyDescent="0.25">
      <c r="A654" t="s">
        <v>38</v>
      </c>
      <c r="B654">
        <v>50</v>
      </c>
      <c r="C654">
        <v>50000</v>
      </c>
      <c r="D654" t="s">
        <v>26</v>
      </c>
      <c r="E654" t="s">
        <v>10</v>
      </c>
      <c r="F654" t="s">
        <v>11</v>
      </c>
      <c r="G654" s="1">
        <v>43800</v>
      </c>
      <c r="H654" s="1" t="s">
        <v>21</v>
      </c>
      <c r="I654" s="1" t="s">
        <v>25</v>
      </c>
      <c r="J654" s="1" t="s">
        <v>22</v>
      </c>
      <c r="K654" s="4">
        <f t="shared" ca="1" si="50"/>
        <v>6.4</v>
      </c>
      <c r="L654" t="str">
        <f t="shared" si="51"/>
        <v>Low</v>
      </c>
      <c r="M654" t="str">
        <f t="shared" si="52"/>
        <v>Medium</v>
      </c>
      <c r="N654" t="str">
        <f t="shared" si="53"/>
        <v>No PIP</v>
      </c>
      <c r="O654" t="str">
        <f t="shared" ca="1" si="54"/>
        <v>Not Eligible</v>
      </c>
    </row>
    <row r="655" spans="1:15" x14ac:dyDescent="0.25">
      <c r="A655" t="s">
        <v>34</v>
      </c>
      <c r="B655">
        <v>30</v>
      </c>
      <c r="C655">
        <v>65000</v>
      </c>
      <c r="D655" t="s">
        <v>26</v>
      </c>
      <c r="E655" t="s">
        <v>10</v>
      </c>
      <c r="F655" t="s">
        <v>31</v>
      </c>
      <c r="G655" s="1">
        <v>43800</v>
      </c>
      <c r="H655" s="1" t="s">
        <v>12</v>
      </c>
      <c r="I655" s="1" t="s">
        <v>25</v>
      </c>
      <c r="J655" s="1" t="s">
        <v>44</v>
      </c>
      <c r="K655" s="4">
        <f t="shared" ca="1" si="50"/>
        <v>6.4</v>
      </c>
      <c r="L655" t="str">
        <f t="shared" si="51"/>
        <v>High</v>
      </c>
      <c r="M655" t="str">
        <f t="shared" si="52"/>
        <v>Low</v>
      </c>
      <c r="N655" t="str">
        <f t="shared" si="53"/>
        <v>PIP</v>
      </c>
      <c r="O655" t="str">
        <f t="shared" ca="1" si="54"/>
        <v>Not Eligible</v>
      </c>
    </row>
    <row r="656" spans="1:15" x14ac:dyDescent="0.25">
      <c r="A656" t="s">
        <v>42</v>
      </c>
      <c r="B656">
        <v>35</v>
      </c>
      <c r="C656">
        <v>60216</v>
      </c>
      <c r="D656" t="s">
        <v>26</v>
      </c>
      <c r="E656" t="s">
        <v>15</v>
      </c>
      <c r="F656" t="s">
        <v>31</v>
      </c>
      <c r="G656" s="1">
        <v>43800</v>
      </c>
      <c r="H656" s="1" t="s">
        <v>24</v>
      </c>
      <c r="I656" s="1" t="s">
        <v>44</v>
      </c>
      <c r="J656" s="1" t="s">
        <v>32</v>
      </c>
      <c r="K656" s="4">
        <f t="shared" ca="1" si="50"/>
        <v>6.4</v>
      </c>
      <c r="L656" t="str">
        <f t="shared" si="51"/>
        <v>Medium</v>
      </c>
      <c r="M656" t="str">
        <f t="shared" si="52"/>
        <v>High</v>
      </c>
      <c r="N656" t="str">
        <f t="shared" si="53"/>
        <v>No PIP</v>
      </c>
      <c r="O656" t="str">
        <f t="shared" ca="1" si="54"/>
        <v>Eligible</v>
      </c>
    </row>
    <row r="657" spans="1:15" x14ac:dyDescent="0.25">
      <c r="A657" t="s">
        <v>35</v>
      </c>
      <c r="B657">
        <v>50</v>
      </c>
      <c r="C657">
        <v>65000</v>
      </c>
      <c r="D657" t="s">
        <v>26</v>
      </c>
      <c r="E657" t="s">
        <v>20</v>
      </c>
      <c r="F657" t="s">
        <v>11</v>
      </c>
      <c r="G657" s="1">
        <v>43800</v>
      </c>
      <c r="H657" s="1" t="s">
        <v>12</v>
      </c>
      <c r="I657" s="1" t="s">
        <v>25</v>
      </c>
      <c r="J657" s="1" t="s">
        <v>44</v>
      </c>
      <c r="K657" s="4">
        <f t="shared" ca="1" si="50"/>
        <v>6.4</v>
      </c>
      <c r="L657" t="str">
        <f t="shared" si="51"/>
        <v>High</v>
      </c>
      <c r="M657" t="str">
        <f t="shared" si="52"/>
        <v>Low</v>
      </c>
      <c r="N657" t="str">
        <f t="shared" si="53"/>
        <v>PIP</v>
      </c>
      <c r="O657" t="str">
        <f t="shared" ca="1" si="54"/>
        <v>Not Eligible</v>
      </c>
    </row>
    <row r="658" spans="1:15" x14ac:dyDescent="0.25">
      <c r="A658" t="s">
        <v>40</v>
      </c>
      <c r="B658">
        <v>25</v>
      </c>
      <c r="C658">
        <v>60216</v>
      </c>
      <c r="D658" t="s">
        <v>9</v>
      </c>
      <c r="E658" t="s">
        <v>10</v>
      </c>
      <c r="F658" t="s">
        <v>11</v>
      </c>
      <c r="G658" s="1">
        <v>43800</v>
      </c>
      <c r="H658" s="1" t="s">
        <v>21</v>
      </c>
      <c r="I658" s="1" t="s">
        <v>44</v>
      </c>
      <c r="J658" s="1" t="s">
        <v>32</v>
      </c>
      <c r="K658" s="4">
        <f t="shared" ca="1" si="50"/>
        <v>6.4</v>
      </c>
      <c r="L658" t="str">
        <f t="shared" si="51"/>
        <v>Medium</v>
      </c>
      <c r="M658" t="str">
        <f t="shared" si="52"/>
        <v>Medium</v>
      </c>
      <c r="N658" t="str">
        <f t="shared" si="53"/>
        <v>No PIP</v>
      </c>
      <c r="O658" t="str">
        <f t="shared" ca="1" si="54"/>
        <v>Not Eligible</v>
      </c>
    </row>
    <row r="659" spans="1:15" x14ac:dyDescent="0.25">
      <c r="A659" t="s">
        <v>41</v>
      </c>
      <c r="B659">
        <v>25</v>
      </c>
      <c r="C659">
        <v>70000</v>
      </c>
      <c r="D659" t="s">
        <v>9</v>
      </c>
      <c r="E659" t="s">
        <v>15</v>
      </c>
      <c r="F659" t="s">
        <v>16</v>
      </c>
      <c r="G659" s="1">
        <v>43800</v>
      </c>
      <c r="H659" s="1" t="s">
        <v>21</v>
      </c>
      <c r="I659" s="1" t="s">
        <v>25</v>
      </c>
      <c r="J659" s="1" t="s">
        <v>19</v>
      </c>
      <c r="K659" s="4">
        <f t="shared" ca="1" si="50"/>
        <v>6.4</v>
      </c>
      <c r="L659" t="str">
        <f t="shared" si="51"/>
        <v>High</v>
      </c>
      <c r="M659" t="str">
        <f t="shared" si="52"/>
        <v>Medium</v>
      </c>
      <c r="N659" t="str">
        <f t="shared" si="53"/>
        <v>No PIP</v>
      </c>
      <c r="O659" t="str">
        <f t="shared" ca="1" si="54"/>
        <v>Not Eligible</v>
      </c>
    </row>
    <row r="660" spans="1:15" x14ac:dyDescent="0.25">
      <c r="A660" t="s">
        <v>33</v>
      </c>
      <c r="B660">
        <v>40</v>
      </c>
      <c r="C660">
        <v>50000</v>
      </c>
      <c r="D660" t="s">
        <v>26</v>
      </c>
      <c r="E660" t="s">
        <v>23</v>
      </c>
      <c r="F660" t="s">
        <v>16</v>
      </c>
      <c r="G660" s="1">
        <v>43800</v>
      </c>
      <c r="H660" s="1" t="s">
        <v>17</v>
      </c>
      <c r="I660" s="1" t="s">
        <v>44</v>
      </c>
      <c r="J660" s="1" t="s">
        <v>22</v>
      </c>
      <c r="K660" s="4">
        <f t="shared" ca="1" si="50"/>
        <v>6.4</v>
      </c>
      <c r="L660" t="str">
        <f t="shared" si="51"/>
        <v>Low</v>
      </c>
      <c r="M660" t="str">
        <f t="shared" si="52"/>
        <v>Low</v>
      </c>
      <c r="N660" t="str">
        <f t="shared" si="53"/>
        <v>PIP</v>
      </c>
      <c r="O660" t="str">
        <f t="shared" ca="1" si="54"/>
        <v>Not Eligible</v>
      </c>
    </row>
    <row r="661" spans="1:15" x14ac:dyDescent="0.25">
      <c r="A661" t="s">
        <v>37</v>
      </c>
      <c r="B661">
        <v>35</v>
      </c>
      <c r="C661">
        <v>50000</v>
      </c>
      <c r="D661" t="s">
        <v>14</v>
      </c>
      <c r="E661" t="s">
        <v>20</v>
      </c>
      <c r="F661" t="s">
        <v>30</v>
      </c>
      <c r="G661" s="1">
        <v>43800</v>
      </c>
      <c r="H661" s="1" t="s">
        <v>24</v>
      </c>
      <c r="I661" s="1" t="s">
        <v>44</v>
      </c>
      <c r="J661" s="1" t="s">
        <v>44</v>
      </c>
      <c r="K661" s="4">
        <f t="shared" ca="1" si="50"/>
        <v>6.4</v>
      </c>
      <c r="L661" t="str">
        <f t="shared" si="51"/>
        <v>Low</v>
      </c>
      <c r="M661" t="str">
        <f t="shared" si="52"/>
        <v>High</v>
      </c>
      <c r="N661" t="str">
        <f t="shared" si="53"/>
        <v>No PIP</v>
      </c>
      <c r="O661" t="str">
        <f t="shared" ca="1" si="54"/>
        <v>Eligible</v>
      </c>
    </row>
    <row r="662" spans="1:15" x14ac:dyDescent="0.25">
      <c r="A662" t="s">
        <v>41</v>
      </c>
      <c r="B662">
        <v>35</v>
      </c>
      <c r="C662">
        <v>50000</v>
      </c>
      <c r="D662" t="s">
        <v>14</v>
      </c>
      <c r="E662" t="s">
        <v>23</v>
      </c>
      <c r="F662" t="s">
        <v>31</v>
      </c>
      <c r="G662" s="1">
        <v>43800</v>
      </c>
      <c r="H662" s="1" t="s">
        <v>21</v>
      </c>
      <c r="I662" s="1" t="s">
        <v>13</v>
      </c>
      <c r="J662" s="1" t="s">
        <v>44</v>
      </c>
      <c r="K662" s="4">
        <f t="shared" ca="1" si="50"/>
        <v>6.4</v>
      </c>
      <c r="L662" t="str">
        <f t="shared" si="51"/>
        <v>Low</v>
      </c>
      <c r="M662" t="str">
        <f t="shared" si="52"/>
        <v>Medium</v>
      </c>
      <c r="N662" t="str">
        <f t="shared" si="53"/>
        <v>No PIP</v>
      </c>
      <c r="O662" t="str">
        <f t="shared" ca="1" si="54"/>
        <v>Not Eligible</v>
      </c>
    </row>
    <row r="663" spans="1:15" x14ac:dyDescent="0.25">
      <c r="A663" t="s">
        <v>42</v>
      </c>
      <c r="B663">
        <v>30</v>
      </c>
      <c r="C663">
        <v>65000</v>
      </c>
      <c r="D663" t="s">
        <v>9</v>
      </c>
      <c r="E663" t="s">
        <v>27</v>
      </c>
      <c r="F663" t="s">
        <v>16</v>
      </c>
      <c r="G663" s="1">
        <v>43800</v>
      </c>
      <c r="H663" s="1" t="s">
        <v>21</v>
      </c>
      <c r="I663" s="1" t="s">
        <v>18</v>
      </c>
      <c r="J663" s="1" t="s">
        <v>19</v>
      </c>
      <c r="K663" s="4">
        <f t="shared" ca="1" si="50"/>
        <v>6.4</v>
      </c>
      <c r="L663" t="str">
        <f t="shared" si="51"/>
        <v>High</v>
      </c>
      <c r="M663" t="str">
        <f t="shared" si="52"/>
        <v>Medium</v>
      </c>
      <c r="N663" t="str">
        <f t="shared" si="53"/>
        <v>No PIP</v>
      </c>
      <c r="O663" t="str">
        <f t="shared" ca="1" si="54"/>
        <v>Not Eligible</v>
      </c>
    </row>
    <row r="664" spans="1:15" x14ac:dyDescent="0.25">
      <c r="A664" t="s">
        <v>38</v>
      </c>
      <c r="B664">
        <v>30</v>
      </c>
      <c r="C664">
        <v>60000</v>
      </c>
      <c r="D664" t="s">
        <v>14</v>
      </c>
      <c r="E664" t="s">
        <v>15</v>
      </c>
      <c r="F664" t="s">
        <v>16</v>
      </c>
      <c r="G664" s="1">
        <v>43800</v>
      </c>
      <c r="H664" s="1" t="s">
        <v>29</v>
      </c>
      <c r="I664" s="1" t="s">
        <v>25</v>
      </c>
      <c r="J664" s="1" t="s">
        <v>32</v>
      </c>
      <c r="K664" s="4">
        <f t="shared" ca="1" si="50"/>
        <v>6.4</v>
      </c>
      <c r="L664" t="str">
        <f t="shared" si="51"/>
        <v>Medium</v>
      </c>
      <c r="M664" t="str">
        <f t="shared" si="52"/>
        <v>Medium</v>
      </c>
      <c r="N664" t="str">
        <f t="shared" si="53"/>
        <v>No PIP</v>
      </c>
      <c r="O664" t="str">
        <f t="shared" ca="1" si="54"/>
        <v>Not Eligible</v>
      </c>
    </row>
    <row r="665" spans="1:15" x14ac:dyDescent="0.25">
      <c r="A665" t="s">
        <v>35</v>
      </c>
      <c r="B665">
        <v>25</v>
      </c>
      <c r="C665">
        <v>60216</v>
      </c>
      <c r="D665" t="s">
        <v>14</v>
      </c>
      <c r="E665" t="s">
        <v>27</v>
      </c>
      <c r="F665" t="s">
        <v>11</v>
      </c>
      <c r="G665" s="1">
        <v>43800</v>
      </c>
      <c r="H665" s="1" t="s">
        <v>21</v>
      </c>
      <c r="I665" s="1" t="s">
        <v>18</v>
      </c>
      <c r="J665" s="1" t="s">
        <v>19</v>
      </c>
      <c r="K665" s="4">
        <f t="shared" ca="1" si="50"/>
        <v>6.4</v>
      </c>
      <c r="L665" t="str">
        <f t="shared" si="51"/>
        <v>Medium</v>
      </c>
      <c r="M665" t="str">
        <f t="shared" si="52"/>
        <v>Medium</v>
      </c>
      <c r="N665" t="str">
        <f t="shared" si="53"/>
        <v>No PIP</v>
      </c>
      <c r="O665" t="str">
        <f t="shared" ca="1" si="54"/>
        <v>Not Eligible</v>
      </c>
    </row>
    <row r="666" spans="1:15" x14ac:dyDescent="0.25">
      <c r="A666" t="s">
        <v>33</v>
      </c>
      <c r="B666">
        <v>35</v>
      </c>
      <c r="C666">
        <v>65000</v>
      </c>
      <c r="D666" t="s">
        <v>9</v>
      </c>
      <c r="E666" t="s">
        <v>20</v>
      </c>
      <c r="F666" t="s">
        <v>11</v>
      </c>
      <c r="G666" s="1">
        <v>43800</v>
      </c>
      <c r="H666" s="1" t="s">
        <v>29</v>
      </c>
      <c r="I666" s="1" t="s">
        <v>25</v>
      </c>
      <c r="J666" s="1" t="s">
        <v>32</v>
      </c>
      <c r="K666" s="4">
        <f t="shared" ca="1" si="50"/>
        <v>6.4</v>
      </c>
      <c r="L666" t="str">
        <f t="shared" si="51"/>
        <v>High</v>
      </c>
      <c r="M666" t="str">
        <f t="shared" si="52"/>
        <v>Medium</v>
      </c>
      <c r="N666" t="str">
        <f t="shared" si="53"/>
        <v>No PIP</v>
      </c>
      <c r="O666" t="str">
        <f t="shared" ca="1" si="54"/>
        <v>Not Eligible</v>
      </c>
    </row>
    <row r="667" spans="1:15" x14ac:dyDescent="0.25">
      <c r="A667" t="s">
        <v>38</v>
      </c>
      <c r="B667">
        <v>35</v>
      </c>
      <c r="C667">
        <v>50000</v>
      </c>
      <c r="D667" t="s">
        <v>9</v>
      </c>
      <c r="E667" t="s">
        <v>15</v>
      </c>
      <c r="F667" t="s">
        <v>11</v>
      </c>
      <c r="G667" s="1">
        <v>43800</v>
      </c>
      <c r="H667" s="1" t="s">
        <v>12</v>
      </c>
      <c r="I667" s="1" t="s">
        <v>18</v>
      </c>
      <c r="J667" s="1" t="s">
        <v>44</v>
      </c>
      <c r="K667" s="4">
        <f t="shared" ca="1" si="50"/>
        <v>6.4</v>
      </c>
      <c r="L667" t="str">
        <f t="shared" si="51"/>
        <v>Low</v>
      </c>
      <c r="M667" t="str">
        <f t="shared" si="52"/>
        <v>Low</v>
      </c>
      <c r="N667" t="str">
        <f t="shared" si="53"/>
        <v>PIP</v>
      </c>
      <c r="O667" t="str">
        <f t="shared" ca="1" si="54"/>
        <v>Not Eligible</v>
      </c>
    </row>
    <row r="668" spans="1:15" x14ac:dyDescent="0.25">
      <c r="A668" t="s">
        <v>39</v>
      </c>
      <c r="B668">
        <v>35</v>
      </c>
      <c r="C668">
        <v>60000</v>
      </c>
      <c r="D668" t="s">
        <v>9</v>
      </c>
      <c r="E668" t="s">
        <v>27</v>
      </c>
      <c r="F668" t="s">
        <v>16</v>
      </c>
      <c r="G668" s="1">
        <v>43800</v>
      </c>
      <c r="H668" s="1" t="s">
        <v>24</v>
      </c>
      <c r="I668" s="1" t="s">
        <v>18</v>
      </c>
      <c r="J668" s="1" t="s">
        <v>19</v>
      </c>
      <c r="K668" s="4">
        <f t="shared" ca="1" si="50"/>
        <v>6.4</v>
      </c>
      <c r="L668" t="str">
        <f t="shared" si="51"/>
        <v>Medium</v>
      </c>
      <c r="M668" t="str">
        <f t="shared" si="52"/>
        <v>High</v>
      </c>
      <c r="N668" t="str">
        <f t="shared" si="53"/>
        <v>No PIP</v>
      </c>
      <c r="O668" t="str">
        <f t="shared" ca="1" si="54"/>
        <v>Eligible</v>
      </c>
    </row>
    <row r="669" spans="1:15" x14ac:dyDescent="0.25">
      <c r="A669" t="s">
        <v>38</v>
      </c>
      <c r="B669">
        <v>25</v>
      </c>
      <c r="C669">
        <v>60216</v>
      </c>
      <c r="D669" t="s">
        <v>9</v>
      </c>
      <c r="E669" t="s">
        <v>15</v>
      </c>
      <c r="F669" t="s">
        <v>16</v>
      </c>
      <c r="G669" s="1">
        <v>43800</v>
      </c>
      <c r="H669" s="1" t="s">
        <v>21</v>
      </c>
      <c r="I669" s="1" t="s">
        <v>13</v>
      </c>
      <c r="J669" s="1" t="s">
        <v>44</v>
      </c>
      <c r="K669" s="4">
        <f t="shared" ca="1" si="50"/>
        <v>6.4</v>
      </c>
      <c r="L669" t="str">
        <f t="shared" si="51"/>
        <v>Medium</v>
      </c>
      <c r="M669" t="str">
        <f t="shared" si="52"/>
        <v>Medium</v>
      </c>
      <c r="N669" t="str">
        <f t="shared" si="53"/>
        <v>No PIP</v>
      </c>
      <c r="O669" t="str">
        <f t="shared" ca="1" si="54"/>
        <v>Not Eligible</v>
      </c>
    </row>
    <row r="670" spans="1:15" x14ac:dyDescent="0.25">
      <c r="A670" t="s">
        <v>41</v>
      </c>
      <c r="B670">
        <v>30</v>
      </c>
      <c r="C670">
        <v>50000</v>
      </c>
      <c r="D670" t="s">
        <v>26</v>
      </c>
      <c r="E670" t="s">
        <v>27</v>
      </c>
      <c r="F670" t="s">
        <v>11</v>
      </c>
      <c r="G670" s="1">
        <v>43800</v>
      </c>
      <c r="H670" s="1" t="s">
        <v>29</v>
      </c>
      <c r="I670" s="1" t="s">
        <v>18</v>
      </c>
      <c r="J670" s="1" t="s">
        <v>19</v>
      </c>
      <c r="K670" s="4">
        <f t="shared" ca="1" si="50"/>
        <v>6.4</v>
      </c>
      <c r="L670" t="str">
        <f t="shared" si="51"/>
        <v>Low</v>
      </c>
      <c r="M670" t="str">
        <f t="shared" si="52"/>
        <v>Medium</v>
      </c>
      <c r="N670" t="str">
        <f t="shared" si="53"/>
        <v>No PIP</v>
      </c>
      <c r="O670" t="str">
        <f t="shared" ca="1" si="54"/>
        <v>Not Eligible</v>
      </c>
    </row>
    <row r="671" spans="1:15" x14ac:dyDescent="0.25">
      <c r="A671" t="s">
        <v>36</v>
      </c>
      <c r="B671">
        <v>35</v>
      </c>
      <c r="C671">
        <v>70000</v>
      </c>
      <c r="D671" t="s">
        <v>14</v>
      </c>
      <c r="E671" t="s">
        <v>20</v>
      </c>
      <c r="F671" t="s">
        <v>11</v>
      </c>
      <c r="G671" s="1">
        <v>43800</v>
      </c>
      <c r="H671" s="1" t="s">
        <v>21</v>
      </c>
      <c r="I671" s="1" t="s">
        <v>44</v>
      </c>
      <c r="J671" s="1" t="s">
        <v>32</v>
      </c>
      <c r="K671" s="4">
        <f t="shared" ca="1" si="50"/>
        <v>6.4</v>
      </c>
      <c r="L671" t="str">
        <f t="shared" si="51"/>
        <v>High</v>
      </c>
      <c r="M671" t="str">
        <f t="shared" si="52"/>
        <v>Medium</v>
      </c>
      <c r="N671" t="str">
        <f t="shared" si="53"/>
        <v>No PIP</v>
      </c>
      <c r="O671" t="str">
        <f t="shared" ca="1" si="54"/>
        <v>Not Eligible</v>
      </c>
    </row>
    <row r="672" spans="1:15" x14ac:dyDescent="0.25">
      <c r="A672" t="s">
        <v>41</v>
      </c>
      <c r="B672">
        <v>35</v>
      </c>
      <c r="C672">
        <v>65000</v>
      </c>
      <c r="D672" t="s">
        <v>9</v>
      </c>
      <c r="E672" t="s">
        <v>27</v>
      </c>
      <c r="F672" t="s">
        <v>31</v>
      </c>
      <c r="G672" s="1">
        <v>43800</v>
      </c>
      <c r="H672" s="1" t="s">
        <v>17</v>
      </c>
      <c r="I672" s="1" t="s">
        <v>44</v>
      </c>
      <c r="J672" s="1" t="s">
        <v>44</v>
      </c>
      <c r="K672" s="4">
        <f t="shared" ca="1" si="50"/>
        <v>6.4</v>
      </c>
      <c r="L672" t="str">
        <f t="shared" si="51"/>
        <v>High</v>
      </c>
      <c r="M672" t="str">
        <f t="shared" si="52"/>
        <v>Low</v>
      </c>
      <c r="N672" t="str">
        <f t="shared" si="53"/>
        <v>PIP</v>
      </c>
      <c r="O672" t="str">
        <f t="shared" ca="1" si="54"/>
        <v>Not Eligible</v>
      </c>
    </row>
    <row r="673" spans="1:15" x14ac:dyDescent="0.25">
      <c r="A673" t="s">
        <v>36</v>
      </c>
      <c r="B673">
        <v>35</v>
      </c>
      <c r="C673">
        <v>50000</v>
      </c>
      <c r="D673" t="s">
        <v>9</v>
      </c>
      <c r="E673" t="s">
        <v>27</v>
      </c>
      <c r="F673" t="s">
        <v>28</v>
      </c>
      <c r="G673" s="1">
        <v>43800</v>
      </c>
      <c r="H673" s="1" t="s">
        <v>29</v>
      </c>
      <c r="I673" s="1" t="s">
        <v>44</v>
      </c>
      <c r="J673" s="1" t="s">
        <v>22</v>
      </c>
      <c r="K673" s="4">
        <f t="shared" ca="1" si="50"/>
        <v>6.4</v>
      </c>
      <c r="L673" t="str">
        <f t="shared" si="51"/>
        <v>Low</v>
      </c>
      <c r="M673" t="str">
        <f t="shared" si="52"/>
        <v>Medium</v>
      </c>
      <c r="N673" t="str">
        <f t="shared" si="53"/>
        <v>No PIP</v>
      </c>
      <c r="O673" t="str">
        <f t="shared" ca="1" si="54"/>
        <v>Not Eligible</v>
      </c>
    </row>
    <row r="674" spans="1:15" x14ac:dyDescent="0.25">
      <c r="A674" t="s">
        <v>38</v>
      </c>
      <c r="B674">
        <v>25</v>
      </c>
      <c r="C674">
        <v>65000</v>
      </c>
      <c r="D674" t="s">
        <v>14</v>
      </c>
      <c r="E674" t="s">
        <v>23</v>
      </c>
      <c r="F674" t="s">
        <v>28</v>
      </c>
      <c r="G674" s="1">
        <v>43800</v>
      </c>
      <c r="H674" s="1" t="s">
        <v>21</v>
      </c>
      <c r="I674" s="1" t="s">
        <v>25</v>
      </c>
      <c r="J674" s="1" t="s">
        <v>44</v>
      </c>
      <c r="K674" s="4">
        <f t="shared" ca="1" si="50"/>
        <v>6.4</v>
      </c>
      <c r="L674" t="str">
        <f t="shared" si="51"/>
        <v>High</v>
      </c>
      <c r="M674" t="str">
        <f t="shared" si="52"/>
        <v>Medium</v>
      </c>
      <c r="N674" t="str">
        <f t="shared" si="53"/>
        <v>No PIP</v>
      </c>
      <c r="O674" t="str">
        <f t="shared" ca="1" si="54"/>
        <v>Not Eligible</v>
      </c>
    </row>
    <row r="675" spans="1:15" x14ac:dyDescent="0.25">
      <c r="A675" t="s">
        <v>39</v>
      </c>
      <c r="B675">
        <v>35</v>
      </c>
      <c r="C675">
        <v>55000</v>
      </c>
      <c r="D675" t="s">
        <v>26</v>
      </c>
      <c r="E675" t="s">
        <v>27</v>
      </c>
      <c r="F675" t="s">
        <v>28</v>
      </c>
      <c r="G675" s="1">
        <v>43800</v>
      </c>
      <c r="H675" s="1" t="s">
        <v>12</v>
      </c>
      <c r="I675" s="1" t="s">
        <v>18</v>
      </c>
      <c r="J675" s="1" t="s">
        <v>44</v>
      </c>
      <c r="K675" s="4">
        <f t="shared" ca="1" si="50"/>
        <v>6.4</v>
      </c>
      <c r="L675" t="str">
        <f t="shared" si="51"/>
        <v>Low</v>
      </c>
      <c r="M675" t="str">
        <f t="shared" si="52"/>
        <v>Low</v>
      </c>
      <c r="N675" t="str">
        <f t="shared" si="53"/>
        <v>PIP</v>
      </c>
      <c r="O675" t="str">
        <f t="shared" ca="1" si="54"/>
        <v>Not Eligible</v>
      </c>
    </row>
    <row r="676" spans="1:15" x14ac:dyDescent="0.25">
      <c r="A676" t="s">
        <v>37</v>
      </c>
      <c r="B676">
        <v>50</v>
      </c>
      <c r="C676">
        <v>60216</v>
      </c>
      <c r="D676" t="s">
        <v>14</v>
      </c>
      <c r="E676" t="s">
        <v>23</v>
      </c>
      <c r="F676" t="s">
        <v>31</v>
      </c>
      <c r="G676" s="1">
        <v>43800</v>
      </c>
      <c r="H676" s="1" t="s">
        <v>24</v>
      </c>
      <c r="I676" s="1" t="s">
        <v>18</v>
      </c>
      <c r="J676" s="1" t="s">
        <v>22</v>
      </c>
      <c r="K676" s="4">
        <f t="shared" ca="1" si="50"/>
        <v>6.4</v>
      </c>
      <c r="L676" t="str">
        <f t="shared" si="51"/>
        <v>Medium</v>
      </c>
      <c r="M676" t="str">
        <f t="shared" si="52"/>
        <v>High</v>
      </c>
      <c r="N676" t="str">
        <f t="shared" si="53"/>
        <v>No PIP</v>
      </c>
      <c r="O676" t="str">
        <f t="shared" ca="1" si="54"/>
        <v>Eligible</v>
      </c>
    </row>
    <row r="677" spans="1:15" x14ac:dyDescent="0.25">
      <c r="A677" t="s">
        <v>39</v>
      </c>
      <c r="B677">
        <v>35</v>
      </c>
      <c r="C677">
        <v>65000</v>
      </c>
      <c r="D677" t="s">
        <v>14</v>
      </c>
      <c r="E677" t="s">
        <v>20</v>
      </c>
      <c r="F677" t="s">
        <v>28</v>
      </c>
      <c r="G677" s="1">
        <v>43800</v>
      </c>
      <c r="H677" s="1" t="s">
        <v>17</v>
      </c>
      <c r="I677" s="1" t="s">
        <v>44</v>
      </c>
      <c r="J677" s="1" t="s">
        <v>19</v>
      </c>
      <c r="K677" s="4">
        <f t="shared" ca="1" si="50"/>
        <v>6.4</v>
      </c>
      <c r="L677" t="str">
        <f t="shared" si="51"/>
        <v>High</v>
      </c>
      <c r="M677" t="str">
        <f t="shared" si="52"/>
        <v>Low</v>
      </c>
      <c r="N677" t="str">
        <f t="shared" si="53"/>
        <v>PIP</v>
      </c>
      <c r="O677" t="str">
        <f t="shared" ca="1" si="54"/>
        <v>Not Eligible</v>
      </c>
    </row>
    <row r="678" spans="1:15" x14ac:dyDescent="0.25">
      <c r="A678" t="s">
        <v>33</v>
      </c>
      <c r="B678">
        <v>30</v>
      </c>
      <c r="C678">
        <v>50000</v>
      </c>
      <c r="D678" t="s">
        <v>9</v>
      </c>
      <c r="E678" t="s">
        <v>23</v>
      </c>
      <c r="F678" t="s">
        <v>31</v>
      </c>
      <c r="G678" s="1">
        <v>43800</v>
      </c>
      <c r="H678" s="1" t="s">
        <v>12</v>
      </c>
      <c r="I678" s="1" t="s">
        <v>44</v>
      </c>
      <c r="J678" s="1" t="s">
        <v>19</v>
      </c>
      <c r="K678" s="4">
        <f t="shared" ca="1" si="50"/>
        <v>6.4</v>
      </c>
      <c r="L678" t="str">
        <f t="shared" si="51"/>
        <v>Low</v>
      </c>
      <c r="M678" t="str">
        <f t="shared" si="52"/>
        <v>Low</v>
      </c>
      <c r="N678" t="str">
        <f t="shared" si="53"/>
        <v>PIP</v>
      </c>
      <c r="O678" t="str">
        <f t="shared" ca="1" si="54"/>
        <v>Not Eligible</v>
      </c>
    </row>
    <row r="679" spans="1:15" x14ac:dyDescent="0.25">
      <c r="A679" t="s">
        <v>34</v>
      </c>
      <c r="B679">
        <v>40</v>
      </c>
      <c r="C679">
        <v>60000</v>
      </c>
      <c r="D679" t="s">
        <v>26</v>
      </c>
      <c r="E679" t="s">
        <v>10</v>
      </c>
      <c r="F679" t="s">
        <v>16</v>
      </c>
      <c r="G679" s="1">
        <v>43800</v>
      </c>
      <c r="H679" s="1" t="s">
        <v>17</v>
      </c>
      <c r="I679" s="1" t="s">
        <v>13</v>
      </c>
      <c r="J679" s="1" t="s">
        <v>22</v>
      </c>
      <c r="K679" s="4">
        <f t="shared" ca="1" si="50"/>
        <v>6.4</v>
      </c>
      <c r="L679" t="str">
        <f t="shared" si="51"/>
        <v>Medium</v>
      </c>
      <c r="M679" t="str">
        <f t="shared" si="52"/>
        <v>Low</v>
      </c>
      <c r="N679" t="str">
        <f t="shared" si="53"/>
        <v>PIP</v>
      </c>
      <c r="O679" t="str">
        <f t="shared" ca="1" si="54"/>
        <v>Not Eligible</v>
      </c>
    </row>
    <row r="680" spans="1:15" x14ac:dyDescent="0.25">
      <c r="A680" t="s">
        <v>35</v>
      </c>
      <c r="B680">
        <v>30</v>
      </c>
      <c r="C680">
        <v>50000</v>
      </c>
      <c r="D680" t="s">
        <v>14</v>
      </c>
      <c r="E680" t="s">
        <v>10</v>
      </c>
      <c r="F680" t="s">
        <v>16</v>
      </c>
      <c r="G680" s="1">
        <v>43800</v>
      </c>
      <c r="H680" s="1" t="s">
        <v>12</v>
      </c>
      <c r="I680" s="1" t="s">
        <v>25</v>
      </c>
      <c r="J680" s="1" t="s">
        <v>22</v>
      </c>
      <c r="K680" s="4">
        <f t="shared" ca="1" si="50"/>
        <v>6.4</v>
      </c>
      <c r="L680" t="str">
        <f t="shared" si="51"/>
        <v>Low</v>
      </c>
      <c r="M680" t="str">
        <f t="shared" si="52"/>
        <v>Low</v>
      </c>
      <c r="N680" t="str">
        <f t="shared" si="53"/>
        <v>PIP</v>
      </c>
      <c r="O680" t="str">
        <f t="shared" ca="1" si="54"/>
        <v>Not Eligible</v>
      </c>
    </row>
    <row r="681" spans="1:15" x14ac:dyDescent="0.25">
      <c r="A681" t="s">
        <v>40</v>
      </c>
      <c r="B681">
        <v>30</v>
      </c>
      <c r="C681">
        <v>55000</v>
      </c>
      <c r="D681" t="s">
        <v>26</v>
      </c>
      <c r="E681" t="s">
        <v>15</v>
      </c>
      <c r="F681" t="s">
        <v>28</v>
      </c>
      <c r="G681" s="1">
        <v>43800</v>
      </c>
      <c r="H681" s="1" t="s">
        <v>21</v>
      </c>
      <c r="I681" s="1" t="s">
        <v>18</v>
      </c>
      <c r="J681" s="1" t="s">
        <v>44</v>
      </c>
      <c r="K681" s="4">
        <f t="shared" ca="1" si="50"/>
        <v>6.4</v>
      </c>
      <c r="L681" t="str">
        <f t="shared" si="51"/>
        <v>Low</v>
      </c>
      <c r="M681" t="str">
        <f t="shared" si="52"/>
        <v>Medium</v>
      </c>
      <c r="N681" t="str">
        <f t="shared" si="53"/>
        <v>No PIP</v>
      </c>
      <c r="O681" t="str">
        <f t="shared" ca="1" si="54"/>
        <v>Not Eligible</v>
      </c>
    </row>
    <row r="682" spans="1:15" x14ac:dyDescent="0.25">
      <c r="A682" t="s">
        <v>42</v>
      </c>
      <c r="B682">
        <v>35</v>
      </c>
      <c r="C682">
        <v>60216</v>
      </c>
      <c r="D682" t="s">
        <v>26</v>
      </c>
      <c r="E682" t="s">
        <v>23</v>
      </c>
      <c r="F682" t="s">
        <v>28</v>
      </c>
      <c r="G682" s="1">
        <v>43800</v>
      </c>
      <c r="H682" s="1" t="s">
        <v>12</v>
      </c>
      <c r="I682" s="1" t="s">
        <v>25</v>
      </c>
      <c r="J682" s="1" t="s">
        <v>32</v>
      </c>
      <c r="K682" s="4">
        <f t="shared" ca="1" si="50"/>
        <v>6.4</v>
      </c>
      <c r="L682" t="str">
        <f t="shared" si="51"/>
        <v>Medium</v>
      </c>
      <c r="M682" t="str">
        <f t="shared" si="52"/>
        <v>Low</v>
      </c>
      <c r="N682" t="str">
        <f t="shared" si="53"/>
        <v>PIP</v>
      </c>
      <c r="O682" t="str">
        <f t="shared" ca="1" si="54"/>
        <v>Not Eligible</v>
      </c>
    </row>
    <row r="683" spans="1:15" x14ac:dyDescent="0.25">
      <c r="A683" t="s">
        <v>37</v>
      </c>
      <c r="B683">
        <v>50</v>
      </c>
      <c r="C683">
        <v>55000</v>
      </c>
      <c r="D683" t="s">
        <v>9</v>
      </c>
      <c r="E683" t="s">
        <v>23</v>
      </c>
      <c r="F683" t="s">
        <v>11</v>
      </c>
      <c r="G683" s="1">
        <v>43800</v>
      </c>
      <c r="H683" s="1" t="s">
        <v>17</v>
      </c>
      <c r="I683" s="1" t="s">
        <v>25</v>
      </c>
      <c r="J683" s="1" t="s">
        <v>19</v>
      </c>
      <c r="K683" s="4">
        <f t="shared" ca="1" si="50"/>
        <v>6.4</v>
      </c>
      <c r="L683" t="str">
        <f t="shared" si="51"/>
        <v>Low</v>
      </c>
      <c r="M683" t="str">
        <f t="shared" si="52"/>
        <v>Low</v>
      </c>
      <c r="N683" t="str">
        <f t="shared" si="53"/>
        <v>PIP</v>
      </c>
      <c r="O683" t="str">
        <f t="shared" ca="1" si="54"/>
        <v>Not Eligible</v>
      </c>
    </row>
    <row r="684" spans="1:15" x14ac:dyDescent="0.25">
      <c r="A684" t="s">
        <v>37</v>
      </c>
      <c r="B684">
        <v>35</v>
      </c>
      <c r="C684">
        <v>50000</v>
      </c>
      <c r="D684" t="s">
        <v>26</v>
      </c>
      <c r="E684" t="s">
        <v>15</v>
      </c>
      <c r="F684" t="s">
        <v>28</v>
      </c>
      <c r="G684" s="1">
        <v>43800</v>
      </c>
      <c r="H684" s="1" t="s">
        <v>12</v>
      </c>
      <c r="I684" s="1" t="s">
        <v>18</v>
      </c>
      <c r="J684" s="1" t="s">
        <v>44</v>
      </c>
      <c r="K684" s="4">
        <f t="shared" ca="1" si="50"/>
        <v>6.4</v>
      </c>
      <c r="L684" t="str">
        <f t="shared" si="51"/>
        <v>Low</v>
      </c>
      <c r="M684" t="str">
        <f t="shared" si="52"/>
        <v>Low</v>
      </c>
      <c r="N684" t="str">
        <f t="shared" si="53"/>
        <v>PIP</v>
      </c>
      <c r="O684" t="str">
        <f t="shared" ca="1" si="54"/>
        <v>Not Eligible</v>
      </c>
    </row>
    <row r="685" spans="1:15" x14ac:dyDescent="0.25">
      <c r="A685" t="s">
        <v>39</v>
      </c>
      <c r="B685">
        <v>35</v>
      </c>
      <c r="C685">
        <v>50000</v>
      </c>
      <c r="D685" t="s">
        <v>14</v>
      </c>
      <c r="E685" t="s">
        <v>10</v>
      </c>
      <c r="F685" t="s">
        <v>16</v>
      </c>
      <c r="G685" s="1">
        <v>43800</v>
      </c>
      <c r="H685" s="1" t="s">
        <v>17</v>
      </c>
      <c r="I685" s="1" t="s">
        <v>18</v>
      </c>
      <c r="J685" s="1" t="s">
        <v>19</v>
      </c>
      <c r="K685" s="4">
        <f t="shared" ca="1" si="50"/>
        <v>6.4</v>
      </c>
      <c r="L685" t="str">
        <f t="shared" si="51"/>
        <v>Low</v>
      </c>
      <c r="M685" t="str">
        <f t="shared" si="52"/>
        <v>Low</v>
      </c>
      <c r="N685" t="str">
        <f t="shared" si="53"/>
        <v>PIP</v>
      </c>
      <c r="O685" t="str">
        <f t="shared" ca="1" si="54"/>
        <v>Not Eligible</v>
      </c>
    </row>
    <row r="686" spans="1:15" x14ac:dyDescent="0.25">
      <c r="A686" t="s">
        <v>36</v>
      </c>
      <c r="B686">
        <v>35</v>
      </c>
      <c r="C686">
        <v>60216</v>
      </c>
      <c r="D686" t="s">
        <v>14</v>
      </c>
      <c r="E686" t="s">
        <v>27</v>
      </c>
      <c r="F686" t="s">
        <v>30</v>
      </c>
      <c r="G686" s="1">
        <v>43800</v>
      </c>
      <c r="H686" s="1" t="s">
        <v>17</v>
      </c>
      <c r="I686" s="1" t="s">
        <v>44</v>
      </c>
      <c r="J686" s="1" t="s">
        <v>19</v>
      </c>
      <c r="K686" s="4">
        <f t="shared" ca="1" si="50"/>
        <v>6.4</v>
      </c>
      <c r="L686" t="str">
        <f t="shared" si="51"/>
        <v>Medium</v>
      </c>
      <c r="M686" t="str">
        <f t="shared" si="52"/>
        <v>Low</v>
      </c>
      <c r="N686" t="str">
        <f t="shared" si="53"/>
        <v>PIP</v>
      </c>
      <c r="O686" t="str">
        <f t="shared" ca="1" si="54"/>
        <v>Not Eligible</v>
      </c>
    </row>
    <row r="687" spans="1:15" x14ac:dyDescent="0.25">
      <c r="A687" t="s">
        <v>35</v>
      </c>
      <c r="B687">
        <v>35</v>
      </c>
      <c r="C687">
        <v>60216</v>
      </c>
      <c r="D687" t="s">
        <v>14</v>
      </c>
      <c r="E687" t="s">
        <v>27</v>
      </c>
      <c r="F687" t="s">
        <v>28</v>
      </c>
      <c r="G687" s="1">
        <v>43800</v>
      </c>
      <c r="H687" s="1" t="s">
        <v>24</v>
      </c>
      <c r="I687" s="1" t="s">
        <v>44</v>
      </c>
      <c r="J687" s="1" t="s">
        <v>22</v>
      </c>
      <c r="K687" s="4">
        <f t="shared" ca="1" si="50"/>
        <v>6.4</v>
      </c>
      <c r="L687" t="str">
        <f t="shared" si="51"/>
        <v>Medium</v>
      </c>
      <c r="M687" t="str">
        <f t="shared" si="52"/>
        <v>High</v>
      </c>
      <c r="N687" t="str">
        <f t="shared" si="53"/>
        <v>No PIP</v>
      </c>
      <c r="O687" t="str">
        <f t="shared" ca="1" si="54"/>
        <v>Eligible</v>
      </c>
    </row>
    <row r="688" spans="1:15" x14ac:dyDescent="0.25">
      <c r="A688" t="s">
        <v>36</v>
      </c>
      <c r="B688">
        <v>25</v>
      </c>
      <c r="C688">
        <v>60216</v>
      </c>
      <c r="D688" t="s">
        <v>14</v>
      </c>
      <c r="E688" t="s">
        <v>15</v>
      </c>
      <c r="F688" t="s">
        <v>16</v>
      </c>
      <c r="G688" s="1">
        <v>43800</v>
      </c>
      <c r="H688" s="1" t="s">
        <v>24</v>
      </c>
      <c r="I688" s="1" t="s">
        <v>13</v>
      </c>
      <c r="J688" s="1" t="s">
        <v>19</v>
      </c>
      <c r="K688" s="4">
        <f t="shared" ca="1" si="50"/>
        <v>6.4</v>
      </c>
      <c r="L688" t="str">
        <f t="shared" si="51"/>
        <v>Medium</v>
      </c>
      <c r="M688" t="str">
        <f t="shared" si="52"/>
        <v>High</v>
      </c>
      <c r="N688" t="str">
        <f t="shared" si="53"/>
        <v>No PIP</v>
      </c>
      <c r="O688" t="str">
        <f t="shared" ca="1" si="54"/>
        <v>Eligible</v>
      </c>
    </row>
    <row r="689" spans="1:15" x14ac:dyDescent="0.25">
      <c r="A689" t="s">
        <v>36</v>
      </c>
      <c r="B689">
        <v>35</v>
      </c>
      <c r="C689">
        <v>60216</v>
      </c>
      <c r="D689" t="s">
        <v>9</v>
      </c>
      <c r="E689" t="s">
        <v>23</v>
      </c>
      <c r="F689" t="s">
        <v>16</v>
      </c>
      <c r="G689" s="1">
        <v>43800</v>
      </c>
      <c r="H689" s="1" t="s">
        <v>17</v>
      </c>
      <c r="I689" s="1" t="s">
        <v>44</v>
      </c>
      <c r="J689" s="1" t="s">
        <v>44</v>
      </c>
      <c r="K689" s="4">
        <f t="shared" ca="1" si="50"/>
        <v>6.4</v>
      </c>
      <c r="L689" t="str">
        <f t="shared" si="51"/>
        <v>Medium</v>
      </c>
      <c r="M689" t="str">
        <f t="shared" si="52"/>
        <v>Low</v>
      </c>
      <c r="N689" t="str">
        <f t="shared" si="53"/>
        <v>PIP</v>
      </c>
      <c r="O689" t="str">
        <f t="shared" ca="1" si="54"/>
        <v>Not Eligible</v>
      </c>
    </row>
    <row r="690" spans="1:15" x14ac:dyDescent="0.25">
      <c r="A690" t="s">
        <v>34</v>
      </c>
      <c r="B690">
        <v>50</v>
      </c>
      <c r="C690">
        <v>65000</v>
      </c>
      <c r="D690" t="s">
        <v>14</v>
      </c>
      <c r="E690" t="s">
        <v>23</v>
      </c>
      <c r="F690" t="s">
        <v>16</v>
      </c>
      <c r="G690" s="1">
        <v>43800</v>
      </c>
      <c r="H690" s="1" t="s">
        <v>21</v>
      </c>
      <c r="I690" s="1" t="s">
        <v>25</v>
      </c>
      <c r="J690" s="1" t="s">
        <v>44</v>
      </c>
      <c r="K690" s="4">
        <f t="shared" ca="1" si="50"/>
        <v>6.4</v>
      </c>
      <c r="L690" t="str">
        <f t="shared" si="51"/>
        <v>High</v>
      </c>
      <c r="M690" t="str">
        <f t="shared" si="52"/>
        <v>Medium</v>
      </c>
      <c r="N690" t="str">
        <f t="shared" si="53"/>
        <v>No PIP</v>
      </c>
      <c r="O690" t="str">
        <f t="shared" ca="1" si="54"/>
        <v>Not Eligible</v>
      </c>
    </row>
    <row r="691" spans="1:15" x14ac:dyDescent="0.25">
      <c r="A691" t="s">
        <v>38</v>
      </c>
      <c r="B691">
        <v>30</v>
      </c>
      <c r="C691">
        <v>70000</v>
      </c>
      <c r="D691" t="s">
        <v>9</v>
      </c>
      <c r="E691" t="s">
        <v>15</v>
      </c>
      <c r="F691" t="s">
        <v>31</v>
      </c>
      <c r="G691" s="1">
        <v>43800</v>
      </c>
      <c r="H691" s="1" t="s">
        <v>21</v>
      </c>
      <c r="I691" s="1" t="s">
        <v>18</v>
      </c>
      <c r="J691" s="1" t="s">
        <v>32</v>
      </c>
      <c r="K691" s="4">
        <f t="shared" ca="1" si="50"/>
        <v>6.4</v>
      </c>
      <c r="L691" t="str">
        <f t="shared" si="51"/>
        <v>High</v>
      </c>
      <c r="M691" t="str">
        <f t="shared" si="52"/>
        <v>Medium</v>
      </c>
      <c r="N691" t="str">
        <f t="shared" si="53"/>
        <v>No PIP</v>
      </c>
      <c r="O691" t="str">
        <f t="shared" ca="1" si="54"/>
        <v>Not Eligible</v>
      </c>
    </row>
    <row r="692" spans="1:15" x14ac:dyDescent="0.25">
      <c r="A692" t="s">
        <v>37</v>
      </c>
      <c r="B692">
        <v>50</v>
      </c>
      <c r="C692">
        <v>65000</v>
      </c>
      <c r="D692" t="s">
        <v>26</v>
      </c>
      <c r="E692" t="s">
        <v>27</v>
      </c>
      <c r="F692" t="s">
        <v>31</v>
      </c>
      <c r="G692" s="1">
        <v>43800</v>
      </c>
      <c r="H692" s="1" t="s">
        <v>29</v>
      </c>
      <c r="I692" s="1" t="s">
        <v>18</v>
      </c>
      <c r="J692" s="1" t="s">
        <v>44</v>
      </c>
      <c r="K692" s="4">
        <f t="shared" ca="1" si="50"/>
        <v>6.4</v>
      </c>
      <c r="L692" t="str">
        <f t="shared" si="51"/>
        <v>High</v>
      </c>
      <c r="M692" t="str">
        <f t="shared" si="52"/>
        <v>Medium</v>
      </c>
      <c r="N692" t="str">
        <f t="shared" si="53"/>
        <v>No PIP</v>
      </c>
      <c r="O692" t="str">
        <f t="shared" ca="1" si="54"/>
        <v>Not Eligible</v>
      </c>
    </row>
    <row r="693" spans="1:15" x14ac:dyDescent="0.25">
      <c r="A693" t="s">
        <v>33</v>
      </c>
      <c r="B693">
        <v>35</v>
      </c>
      <c r="C693">
        <v>70000</v>
      </c>
      <c r="D693" t="s">
        <v>9</v>
      </c>
      <c r="E693" t="s">
        <v>10</v>
      </c>
      <c r="F693" t="s">
        <v>28</v>
      </c>
      <c r="G693" s="1">
        <v>43800</v>
      </c>
      <c r="H693" s="1" t="s">
        <v>24</v>
      </c>
      <c r="I693" s="1" t="s">
        <v>44</v>
      </c>
      <c r="J693" s="1" t="s">
        <v>19</v>
      </c>
      <c r="K693" s="4">
        <f t="shared" ca="1" si="50"/>
        <v>6.4</v>
      </c>
      <c r="L693" t="str">
        <f t="shared" si="51"/>
        <v>High</v>
      </c>
      <c r="M693" t="str">
        <f t="shared" si="52"/>
        <v>High</v>
      </c>
      <c r="N693" t="str">
        <f t="shared" si="53"/>
        <v>No PIP</v>
      </c>
      <c r="O693" t="str">
        <f t="shared" ca="1" si="54"/>
        <v>Eligible</v>
      </c>
    </row>
    <row r="694" spans="1:15" x14ac:dyDescent="0.25">
      <c r="A694" t="s">
        <v>36</v>
      </c>
      <c r="B694">
        <v>35</v>
      </c>
      <c r="C694">
        <v>70000</v>
      </c>
      <c r="D694" t="s">
        <v>9</v>
      </c>
      <c r="E694" t="s">
        <v>23</v>
      </c>
      <c r="F694" t="s">
        <v>30</v>
      </c>
      <c r="G694" s="1">
        <v>43800</v>
      </c>
      <c r="H694" s="1" t="s">
        <v>29</v>
      </c>
      <c r="I694" s="1" t="s">
        <v>25</v>
      </c>
      <c r="J694" s="1" t="s">
        <v>44</v>
      </c>
      <c r="K694" s="4">
        <f t="shared" ca="1" si="50"/>
        <v>6.4</v>
      </c>
      <c r="L694" t="str">
        <f t="shared" si="51"/>
        <v>High</v>
      </c>
      <c r="M694" t="str">
        <f t="shared" si="52"/>
        <v>Medium</v>
      </c>
      <c r="N694" t="str">
        <f t="shared" si="53"/>
        <v>No PIP</v>
      </c>
      <c r="O694" t="str">
        <f t="shared" ca="1" si="54"/>
        <v>Not Eligible</v>
      </c>
    </row>
    <row r="695" spans="1:15" x14ac:dyDescent="0.25">
      <c r="A695" t="s">
        <v>42</v>
      </c>
      <c r="B695">
        <v>50</v>
      </c>
      <c r="C695">
        <v>65000</v>
      </c>
      <c r="D695" t="s">
        <v>26</v>
      </c>
      <c r="E695" t="s">
        <v>15</v>
      </c>
      <c r="F695" t="s">
        <v>11</v>
      </c>
      <c r="G695" s="1">
        <v>43800</v>
      </c>
      <c r="H695" s="1" t="s">
        <v>12</v>
      </c>
      <c r="I695" s="1" t="s">
        <v>18</v>
      </c>
      <c r="J695" s="1" t="s">
        <v>22</v>
      </c>
      <c r="K695" s="4">
        <f t="shared" ca="1" si="50"/>
        <v>6.4</v>
      </c>
      <c r="L695" t="str">
        <f t="shared" si="51"/>
        <v>High</v>
      </c>
      <c r="M695" t="str">
        <f t="shared" si="52"/>
        <v>Low</v>
      </c>
      <c r="N695" t="str">
        <f t="shared" si="53"/>
        <v>PIP</v>
      </c>
      <c r="O695" t="str">
        <f t="shared" ca="1" si="54"/>
        <v>Not Eligible</v>
      </c>
    </row>
    <row r="696" spans="1:15" x14ac:dyDescent="0.25">
      <c r="A696" t="s">
        <v>42</v>
      </c>
      <c r="B696">
        <v>35</v>
      </c>
      <c r="C696">
        <v>55000</v>
      </c>
      <c r="D696" t="s">
        <v>14</v>
      </c>
      <c r="E696" t="s">
        <v>27</v>
      </c>
      <c r="F696" t="s">
        <v>28</v>
      </c>
      <c r="G696" s="1">
        <v>43800</v>
      </c>
      <c r="H696" s="1" t="s">
        <v>24</v>
      </c>
      <c r="I696" s="1" t="s">
        <v>18</v>
      </c>
      <c r="J696" s="1" t="s">
        <v>19</v>
      </c>
      <c r="K696" s="4">
        <f t="shared" ca="1" si="50"/>
        <v>6.4</v>
      </c>
      <c r="L696" t="str">
        <f t="shared" si="51"/>
        <v>Low</v>
      </c>
      <c r="M696" t="str">
        <f t="shared" si="52"/>
        <v>High</v>
      </c>
      <c r="N696" t="str">
        <f t="shared" si="53"/>
        <v>No PIP</v>
      </c>
      <c r="O696" t="str">
        <f t="shared" ca="1" si="54"/>
        <v>Eligible</v>
      </c>
    </row>
    <row r="697" spans="1:15" x14ac:dyDescent="0.25">
      <c r="A697" t="s">
        <v>37</v>
      </c>
      <c r="B697">
        <v>25</v>
      </c>
      <c r="C697">
        <v>55000</v>
      </c>
      <c r="D697" t="s">
        <v>26</v>
      </c>
      <c r="E697" t="s">
        <v>10</v>
      </c>
      <c r="F697" t="s">
        <v>28</v>
      </c>
      <c r="G697" s="1">
        <v>43800</v>
      </c>
      <c r="H697" s="1" t="s">
        <v>17</v>
      </c>
      <c r="I697" s="1" t="s">
        <v>13</v>
      </c>
      <c r="J697" s="1" t="s">
        <v>44</v>
      </c>
      <c r="K697" s="4">
        <f t="shared" ca="1" si="50"/>
        <v>6.4</v>
      </c>
      <c r="L697" t="str">
        <f t="shared" si="51"/>
        <v>Low</v>
      </c>
      <c r="M697" t="str">
        <f t="shared" si="52"/>
        <v>Low</v>
      </c>
      <c r="N697" t="str">
        <f t="shared" si="53"/>
        <v>PIP</v>
      </c>
      <c r="O697" t="str">
        <f t="shared" ca="1" si="54"/>
        <v>Not Eligible</v>
      </c>
    </row>
    <row r="698" spans="1:15" x14ac:dyDescent="0.25">
      <c r="A698" t="s">
        <v>36</v>
      </c>
      <c r="B698">
        <v>50</v>
      </c>
      <c r="C698">
        <v>65000</v>
      </c>
      <c r="D698" t="s">
        <v>9</v>
      </c>
      <c r="E698" t="s">
        <v>10</v>
      </c>
      <c r="F698" t="s">
        <v>11</v>
      </c>
      <c r="G698" s="1">
        <v>43800</v>
      </c>
      <c r="H698" s="1" t="s">
        <v>17</v>
      </c>
      <c r="I698" s="1" t="s">
        <v>13</v>
      </c>
      <c r="J698" s="1" t="s">
        <v>19</v>
      </c>
      <c r="K698" s="4">
        <f t="shared" ca="1" si="50"/>
        <v>6.4</v>
      </c>
      <c r="L698" t="str">
        <f t="shared" si="51"/>
        <v>High</v>
      </c>
      <c r="M698" t="str">
        <f t="shared" si="52"/>
        <v>Low</v>
      </c>
      <c r="N698" t="str">
        <f t="shared" si="53"/>
        <v>PIP</v>
      </c>
      <c r="O698" t="str">
        <f t="shared" ca="1" si="54"/>
        <v>Not Eligible</v>
      </c>
    </row>
    <row r="699" spans="1:15" x14ac:dyDescent="0.25">
      <c r="A699" t="s">
        <v>37</v>
      </c>
      <c r="B699">
        <v>25</v>
      </c>
      <c r="C699">
        <v>65000</v>
      </c>
      <c r="D699" t="s">
        <v>14</v>
      </c>
      <c r="E699" t="s">
        <v>27</v>
      </c>
      <c r="F699" t="s">
        <v>11</v>
      </c>
      <c r="G699" s="1">
        <v>43800</v>
      </c>
      <c r="H699" s="1" t="s">
        <v>21</v>
      </c>
      <c r="I699" s="1" t="s">
        <v>13</v>
      </c>
      <c r="J699" s="1" t="s">
        <v>19</v>
      </c>
      <c r="K699" s="4">
        <f t="shared" ca="1" si="50"/>
        <v>6.4</v>
      </c>
      <c r="L699" t="str">
        <f t="shared" si="51"/>
        <v>High</v>
      </c>
      <c r="M699" t="str">
        <f t="shared" si="52"/>
        <v>Medium</v>
      </c>
      <c r="N699" t="str">
        <f t="shared" si="53"/>
        <v>No PIP</v>
      </c>
      <c r="O699" t="str">
        <f t="shared" ca="1" si="54"/>
        <v>Not Eligible</v>
      </c>
    </row>
    <row r="700" spans="1:15" x14ac:dyDescent="0.25">
      <c r="A700" t="s">
        <v>39</v>
      </c>
      <c r="B700">
        <v>35</v>
      </c>
      <c r="C700">
        <v>50000</v>
      </c>
      <c r="D700" t="s">
        <v>26</v>
      </c>
      <c r="E700" t="s">
        <v>15</v>
      </c>
      <c r="F700" t="s">
        <v>28</v>
      </c>
      <c r="G700" s="1">
        <v>43800</v>
      </c>
      <c r="H700" s="1" t="s">
        <v>12</v>
      </c>
      <c r="I700" s="1" t="s">
        <v>25</v>
      </c>
      <c r="J700" s="1" t="s">
        <v>32</v>
      </c>
      <c r="K700" s="4">
        <f t="shared" ca="1" si="50"/>
        <v>6.4</v>
      </c>
      <c r="L700" t="str">
        <f t="shared" si="51"/>
        <v>Low</v>
      </c>
      <c r="M700" t="str">
        <f t="shared" si="52"/>
        <v>Low</v>
      </c>
      <c r="N700" t="str">
        <f t="shared" si="53"/>
        <v>PIP</v>
      </c>
      <c r="O700" t="str">
        <f t="shared" ca="1" si="54"/>
        <v>Not Eligible</v>
      </c>
    </row>
    <row r="701" spans="1:15" x14ac:dyDescent="0.25">
      <c r="A701" t="s">
        <v>34</v>
      </c>
      <c r="B701">
        <v>35</v>
      </c>
      <c r="C701">
        <v>65000</v>
      </c>
      <c r="D701" t="s">
        <v>26</v>
      </c>
      <c r="E701" t="s">
        <v>15</v>
      </c>
      <c r="F701" t="s">
        <v>31</v>
      </c>
      <c r="G701" s="1">
        <v>43800</v>
      </c>
      <c r="H701" s="1" t="s">
        <v>17</v>
      </c>
      <c r="I701" s="1" t="s">
        <v>18</v>
      </c>
      <c r="J701" s="1" t="s">
        <v>22</v>
      </c>
      <c r="K701" s="4">
        <f t="shared" ca="1" si="50"/>
        <v>6.4</v>
      </c>
      <c r="L701" t="str">
        <f t="shared" si="51"/>
        <v>High</v>
      </c>
      <c r="M701" t="str">
        <f t="shared" si="52"/>
        <v>Low</v>
      </c>
      <c r="N701" t="str">
        <f t="shared" si="53"/>
        <v>PIP</v>
      </c>
      <c r="O701" t="str">
        <f t="shared" ca="1" si="54"/>
        <v>Not Eligible</v>
      </c>
    </row>
    <row r="702" spans="1:15" x14ac:dyDescent="0.25">
      <c r="A702" t="s">
        <v>41</v>
      </c>
      <c r="B702">
        <v>50</v>
      </c>
      <c r="C702">
        <v>60216</v>
      </c>
      <c r="D702" t="s">
        <v>26</v>
      </c>
      <c r="E702" t="s">
        <v>23</v>
      </c>
      <c r="F702" t="s">
        <v>28</v>
      </c>
      <c r="G702" s="1">
        <v>43800</v>
      </c>
      <c r="H702" s="1" t="s">
        <v>17</v>
      </c>
      <c r="I702" s="1" t="s">
        <v>44</v>
      </c>
      <c r="J702" s="1" t="s">
        <v>44</v>
      </c>
      <c r="K702" s="4">
        <f t="shared" ca="1" si="50"/>
        <v>6.4</v>
      </c>
      <c r="L702" t="str">
        <f t="shared" si="51"/>
        <v>Medium</v>
      </c>
      <c r="M702" t="str">
        <f t="shared" si="52"/>
        <v>Low</v>
      </c>
      <c r="N702" t="str">
        <f t="shared" si="53"/>
        <v>PIP</v>
      </c>
      <c r="O702" t="str">
        <f t="shared" ca="1" si="54"/>
        <v>Not Eligible</v>
      </c>
    </row>
    <row r="703" spans="1:15" x14ac:dyDescent="0.25">
      <c r="A703" t="s">
        <v>41</v>
      </c>
      <c r="B703">
        <v>40</v>
      </c>
      <c r="C703">
        <v>70000</v>
      </c>
      <c r="D703" t="s">
        <v>9</v>
      </c>
      <c r="E703" t="s">
        <v>15</v>
      </c>
      <c r="F703" t="s">
        <v>16</v>
      </c>
      <c r="G703" s="1">
        <v>43800</v>
      </c>
      <c r="H703" s="1" t="s">
        <v>29</v>
      </c>
      <c r="I703" s="1" t="s">
        <v>25</v>
      </c>
      <c r="J703" s="1" t="s">
        <v>19</v>
      </c>
      <c r="K703" s="4">
        <f t="shared" ca="1" si="50"/>
        <v>6.4</v>
      </c>
      <c r="L703" t="str">
        <f t="shared" si="51"/>
        <v>High</v>
      </c>
      <c r="M703" t="str">
        <f t="shared" si="52"/>
        <v>Medium</v>
      </c>
      <c r="N703" t="str">
        <f t="shared" si="53"/>
        <v>No PIP</v>
      </c>
      <c r="O703" t="str">
        <f t="shared" ca="1" si="54"/>
        <v>Not Eligible</v>
      </c>
    </row>
    <row r="704" spans="1:15" x14ac:dyDescent="0.25">
      <c r="A704" t="s">
        <v>37</v>
      </c>
      <c r="B704">
        <v>25</v>
      </c>
      <c r="C704">
        <v>70000</v>
      </c>
      <c r="D704" t="s">
        <v>9</v>
      </c>
      <c r="E704" t="s">
        <v>15</v>
      </c>
      <c r="F704" t="s">
        <v>30</v>
      </c>
      <c r="G704" s="1">
        <v>43800</v>
      </c>
      <c r="H704" s="1" t="s">
        <v>29</v>
      </c>
      <c r="I704" s="1" t="s">
        <v>13</v>
      </c>
      <c r="J704" s="1" t="s">
        <v>44</v>
      </c>
      <c r="K704" s="4">
        <f t="shared" ca="1" si="50"/>
        <v>6.4</v>
      </c>
      <c r="L704" t="str">
        <f t="shared" si="51"/>
        <v>High</v>
      </c>
      <c r="M704" t="str">
        <f t="shared" si="52"/>
        <v>Medium</v>
      </c>
      <c r="N704" t="str">
        <f t="shared" si="53"/>
        <v>No PIP</v>
      </c>
      <c r="O704" t="str">
        <f t="shared" ca="1" si="54"/>
        <v>Not Eligible</v>
      </c>
    </row>
    <row r="705" spans="1:15" x14ac:dyDescent="0.25">
      <c r="A705" t="s">
        <v>38</v>
      </c>
      <c r="B705">
        <v>35</v>
      </c>
      <c r="C705">
        <v>55000</v>
      </c>
      <c r="D705" t="s">
        <v>9</v>
      </c>
      <c r="E705" t="s">
        <v>10</v>
      </c>
      <c r="F705" t="s">
        <v>11</v>
      </c>
      <c r="G705" s="1">
        <v>43800</v>
      </c>
      <c r="H705" s="1" t="s">
        <v>21</v>
      </c>
      <c r="I705" s="1" t="s">
        <v>44</v>
      </c>
      <c r="J705" s="1" t="s">
        <v>32</v>
      </c>
      <c r="K705" s="4">
        <f t="shared" ca="1" si="50"/>
        <v>6.4</v>
      </c>
      <c r="L705" t="str">
        <f t="shared" si="51"/>
        <v>Low</v>
      </c>
      <c r="M705" t="str">
        <f t="shared" si="52"/>
        <v>Medium</v>
      </c>
      <c r="N705" t="str">
        <f t="shared" si="53"/>
        <v>No PIP</v>
      </c>
      <c r="O705" t="str">
        <f t="shared" ca="1" si="54"/>
        <v>Not Eligible</v>
      </c>
    </row>
    <row r="706" spans="1:15" x14ac:dyDescent="0.25">
      <c r="A706" t="s">
        <v>38</v>
      </c>
      <c r="B706">
        <v>25</v>
      </c>
      <c r="C706">
        <v>65000</v>
      </c>
      <c r="D706" t="s">
        <v>9</v>
      </c>
      <c r="E706" t="s">
        <v>15</v>
      </c>
      <c r="F706" t="s">
        <v>16</v>
      </c>
      <c r="G706" s="1">
        <v>43800</v>
      </c>
      <c r="H706" s="1" t="s">
        <v>29</v>
      </c>
      <c r="I706" s="1" t="s">
        <v>18</v>
      </c>
      <c r="J706" s="1" t="s">
        <v>44</v>
      </c>
      <c r="K706" s="4">
        <f t="shared" ca="1" si="50"/>
        <v>6.4</v>
      </c>
      <c r="L706" t="str">
        <f t="shared" si="51"/>
        <v>High</v>
      </c>
      <c r="M706" t="str">
        <f t="shared" si="52"/>
        <v>Medium</v>
      </c>
      <c r="N706" t="str">
        <f t="shared" si="53"/>
        <v>No PIP</v>
      </c>
      <c r="O706" t="str">
        <f t="shared" ca="1" si="54"/>
        <v>Not Eligible</v>
      </c>
    </row>
    <row r="707" spans="1:15" x14ac:dyDescent="0.25">
      <c r="A707" t="s">
        <v>34</v>
      </c>
      <c r="B707">
        <v>40</v>
      </c>
      <c r="C707">
        <v>50000</v>
      </c>
      <c r="D707" t="s">
        <v>9</v>
      </c>
      <c r="E707" t="s">
        <v>23</v>
      </c>
      <c r="F707" t="s">
        <v>30</v>
      </c>
      <c r="G707" s="1">
        <v>43800</v>
      </c>
      <c r="H707" s="1" t="s">
        <v>29</v>
      </c>
      <c r="I707" s="1" t="s">
        <v>44</v>
      </c>
      <c r="J707" s="1" t="s">
        <v>44</v>
      </c>
      <c r="K707" s="4">
        <f t="shared" ref="K707:K770" ca="1" si="55">ROUND((TODAY()-G707)/365,1)</f>
        <v>6.4</v>
      </c>
      <c r="L707" t="str">
        <f t="shared" ref="L707:L770" si="56">IF(C707&lt;60000,"Low", IF(C707&lt;65000,"Medium","High"))</f>
        <v>Low</v>
      </c>
      <c r="M707" t="str">
        <f t="shared" ref="M707:M770" si="57">IF(H707="A","High",IF(OR(H707="B",H707="C"),"Medium","Low"))</f>
        <v>Medium</v>
      </c>
      <c r="N707" t="str">
        <f t="shared" ref="N707:N770" si="58">IF(M707="Low","PIP","No PIP")</f>
        <v>No PIP</v>
      </c>
      <c r="O707" t="str">
        <f t="shared" ref="O707:O770" ca="1" si="59">IF(AND(M707="High",K707&gt;3),"Eligible","Not Eligible")</f>
        <v>Not Eligible</v>
      </c>
    </row>
    <row r="708" spans="1:15" x14ac:dyDescent="0.25">
      <c r="A708" t="s">
        <v>40</v>
      </c>
      <c r="B708">
        <v>30</v>
      </c>
      <c r="C708">
        <v>70000</v>
      </c>
      <c r="D708" t="s">
        <v>9</v>
      </c>
      <c r="E708" t="s">
        <v>27</v>
      </c>
      <c r="F708" t="s">
        <v>30</v>
      </c>
      <c r="G708" s="1">
        <v>43800</v>
      </c>
      <c r="H708" s="1" t="s">
        <v>29</v>
      </c>
      <c r="I708" s="1" t="s">
        <v>44</v>
      </c>
      <c r="J708" s="1" t="s">
        <v>22</v>
      </c>
      <c r="K708" s="4">
        <f t="shared" ca="1" si="55"/>
        <v>6.4</v>
      </c>
      <c r="L708" t="str">
        <f t="shared" si="56"/>
        <v>High</v>
      </c>
      <c r="M708" t="str">
        <f t="shared" si="57"/>
        <v>Medium</v>
      </c>
      <c r="N708" t="str">
        <f t="shared" si="58"/>
        <v>No PIP</v>
      </c>
      <c r="O708" t="str">
        <f t="shared" ca="1" si="59"/>
        <v>Not Eligible</v>
      </c>
    </row>
    <row r="709" spans="1:15" x14ac:dyDescent="0.25">
      <c r="A709" t="s">
        <v>41</v>
      </c>
      <c r="B709">
        <v>35</v>
      </c>
      <c r="C709">
        <v>65000</v>
      </c>
      <c r="D709" t="s">
        <v>14</v>
      </c>
      <c r="E709" t="s">
        <v>23</v>
      </c>
      <c r="F709" t="s">
        <v>28</v>
      </c>
      <c r="G709" s="1">
        <v>43800</v>
      </c>
      <c r="H709" s="1" t="s">
        <v>12</v>
      </c>
      <c r="I709" s="1" t="s">
        <v>25</v>
      </c>
      <c r="J709" s="1" t="s">
        <v>44</v>
      </c>
      <c r="K709" s="4">
        <f t="shared" ca="1" si="55"/>
        <v>6.4</v>
      </c>
      <c r="L709" t="str">
        <f t="shared" si="56"/>
        <v>High</v>
      </c>
      <c r="M709" t="str">
        <f t="shared" si="57"/>
        <v>Low</v>
      </c>
      <c r="N709" t="str">
        <f t="shared" si="58"/>
        <v>PIP</v>
      </c>
      <c r="O709" t="str">
        <f t="shared" ca="1" si="59"/>
        <v>Not Eligible</v>
      </c>
    </row>
    <row r="710" spans="1:15" x14ac:dyDescent="0.25">
      <c r="A710" t="s">
        <v>41</v>
      </c>
      <c r="B710">
        <v>40</v>
      </c>
      <c r="C710">
        <v>55000</v>
      </c>
      <c r="D710" t="s">
        <v>26</v>
      </c>
      <c r="E710" t="s">
        <v>23</v>
      </c>
      <c r="F710" t="s">
        <v>28</v>
      </c>
      <c r="G710" s="1">
        <v>43800</v>
      </c>
      <c r="H710" s="1" t="s">
        <v>21</v>
      </c>
      <c r="I710" s="1" t="s">
        <v>44</v>
      </c>
      <c r="J710" s="1" t="s">
        <v>44</v>
      </c>
      <c r="K710" s="4">
        <f t="shared" ca="1" si="55"/>
        <v>6.4</v>
      </c>
      <c r="L710" t="str">
        <f t="shared" si="56"/>
        <v>Low</v>
      </c>
      <c r="M710" t="str">
        <f t="shared" si="57"/>
        <v>Medium</v>
      </c>
      <c r="N710" t="str">
        <f t="shared" si="58"/>
        <v>No PIP</v>
      </c>
      <c r="O710" t="str">
        <f t="shared" ca="1" si="59"/>
        <v>Not Eligible</v>
      </c>
    </row>
    <row r="711" spans="1:15" x14ac:dyDescent="0.25">
      <c r="A711" t="s">
        <v>33</v>
      </c>
      <c r="B711">
        <v>25</v>
      </c>
      <c r="C711">
        <v>70000</v>
      </c>
      <c r="D711" t="s">
        <v>26</v>
      </c>
      <c r="E711" t="s">
        <v>23</v>
      </c>
      <c r="F711" t="s">
        <v>30</v>
      </c>
      <c r="G711" s="1">
        <v>43800</v>
      </c>
      <c r="H711" s="1" t="s">
        <v>29</v>
      </c>
      <c r="I711" s="1" t="s">
        <v>44</v>
      </c>
      <c r="J711" s="1" t="s">
        <v>32</v>
      </c>
      <c r="K711" s="4">
        <f t="shared" ca="1" si="55"/>
        <v>6.4</v>
      </c>
      <c r="L711" t="str">
        <f t="shared" si="56"/>
        <v>High</v>
      </c>
      <c r="M711" t="str">
        <f t="shared" si="57"/>
        <v>Medium</v>
      </c>
      <c r="N711" t="str">
        <f t="shared" si="58"/>
        <v>No PIP</v>
      </c>
      <c r="O711" t="str">
        <f t="shared" ca="1" si="59"/>
        <v>Not Eligible</v>
      </c>
    </row>
    <row r="712" spans="1:15" x14ac:dyDescent="0.25">
      <c r="A712" t="s">
        <v>38</v>
      </c>
      <c r="B712">
        <v>30</v>
      </c>
      <c r="C712">
        <v>50000</v>
      </c>
      <c r="D712" t="s">
        <v>14</v>
      </c>
      <c r="E712" t="s">
        <v>10</v>
      </c>
      <c r="F712" t="s">
        <v>11</v>
      </c>
      <c r="G712" s="1">
        <v>43800</v>
      </c>
      <c r="H712" s="1" t="s">
        <v>17</v>
      </c>
      <c r="I712" s="1" t="s">
        <v>44</v>
      </c>
      <c r="J712" s="1" t="s">
        <v>22</v>
      </c>
      <c r="K712" s="4">
        <f t="shared" ca="1" si="55"/>
        <v>6.4</v>
      </c>
      <c r="L712" t="str">
        <f t="shared" si="56"/>
        <v>Low</v>
      </c>
      <c r="M712" t="str">
        <f t="shared" si="57"/>
        <v>Low</v>
      </c>
      <c r="N712" t="str">
        <f t="shared" si="58"/>
        <v>PIP</v>
      </c>
      <c r="O712" t="str">
        <f t="shared" ca="1" si="59"/>
        <v>Not Eligible</v>
      </c>
    </row>
    <row r="713" spans="1:15" x14ac:dyDescent="0.25">
      <c r="A713" t="s">
        <v>38</v>
      </c>
      <c r="B713">
        <v>35</v>
      </c>
      <c r="C713">
        <v>65000</v>
      </c>
      <c r="D713" t="s">
        <v>26</v>
      </c>
      <c r="E713" t="s">
        <v>10</v>
      </c>
      <c r="F713" t="s">
        <v>16</v>
      </c>
      <c r="G713" s="1">
        <v>43800</v>
      </c>
      <c r="H713" s="1" t="s">
        <v>12</v>
      </c>
      <c r="I713" s="1" t="s">
        <v>25</v>
      </c>
      <c r="J713" s="1" t="s">
        <v>22</v>
      </c>
      <c r="K713" s="4">
        <f t="shared" ca="1" si="55"/>
        <v>6.4</v>
      </c>
      <c r="L713" t="str">
        <f t="shared" si="56"/>
        <v>High</v>
      </c>
      <c r="M713" t="str">
        <f t="shared" si="57"/>
        <v>Low</v>
      </c>
      <c r="N713" t="str">
        <f t="shared" si="58"/>
        <v>PIP</v>
      </c>
      <c r="O713" t="str">
        <f t="shared" ca="1" si="59"/>
        <v>Not Eligible</v>
      </c>
    </row>
    <row r="714" spans="1:15" x14ac:dyDescent="0.25">
      <c r="A714" t="s">
        <v>34</v>
      </c>
      <c r="B714">
        <v>30</v>
      </c>
      <c r="C714">
        <v>60000</v>
      </c>
      <c r="D714" t="s">
        <v>9</v>
      </c>
      <c r="E714" t="s">
        <v>20</v>
      </c>
      <c r="F714" t="s">
        <v>30</v>
      </c>
      <c r="G714" s="1">
        <v>43800</v>
      </c>
      <c r="H714" s="1" t="s">
        <v>17</v>
      </c>
      <c r="I714" s="1" t="s">
        <v>44</v>
      </c>
      <c r="J714" s="1" t="s">
        <v>32</v>
      </c>
      <c r="K714" s="4">
        <f t="shared" ca="1" si="55"/>
        <v>6.4</v>
      </c>
      <c r="L714" t="str">
        <f t="shared" si="56"/>
        <v>Medium</v>
      </c>
      <c r="M714" t="str">
        <f t="shared" si="57"/>
        <v>Low</v>
      </c>
      <c r="N714" t="str">
        <f t="shared" si="58"/>
        <v>PIP</v>
      </c>
      <c r="O714" t="str">
        <f t="shared" ca="1" si="59"/>
        <v>Not Eligible</v>
      </c>
    </row>
    <row r="715" spans="1:15" x14ac:dyDescent="0.25">
      <c r="A715" t="s">
        <v>42</v>
      </c>
      <c r="B715">
        <v>40</v>
      </c>
      <c r="C715">
        <v>65000</v>
      </c>
      <c r="D715" t="s">
        <v>26</v>
      </c>
      <c r="E715" t="s">
        <v>15</v>
      </c>
      <c r="F715" t="s">
        <v>11</v>
      </c>
      <c r="G715" s="1">
        <v>43800</v>
      </c>
      <c r="H715" s="1" t="s">
        <v>24</v>
      </c>
      <c r="I715" s="1" t="s">
        <v>44</v>
      </c>
      <c r="J715" s="1" t="s">
        <v>32</v>
      </c>
      <c r="K715" s="4">
        <f t="shared" ca="1" si="55"/>
        <v>6.4</v>
      </c>
      <c r="L715" t="str">
        <f t="shared" si="56"/>
        <v>High</v>
      </c>
      <c r="M715" t="str">
        <f t="shared" si="57"/>
        <v>High</v>
      </c>
      <c r="N715" t="str">
        <f t="shared" si="58"/>
        <v>No PIP</v>
      </c>
      <c r="O715" t="str">
        <f t="shared" ca="1" si="59"/>
        <v>Eligible</v>
      </c>
    </row>
    <row r="716" spans="1:15" x14ac:dyDescent="0.25">
      <c r="A716" t="s">
        <v>36</v>
      </c>
      <c r="B716">
        <v>25</v>
      </c>
      <c r="C716">
        <v>60000</v>
      </c>
      <c r="D716" t="s">
        <v>9</v>
      </c>
      <c r="E716" t="s">
        <v>27</v>
      </c>
      <c r="F716" t="s">
        <v>11</v>
      </c>
      <c r="G716" s="1">
        <v>43800</v>
      </c>
      <c r="H716" s="1" t="s">
        <v>24</v>
      </c>
      <c r="I716" s="1" t="s">
        <v>44</v>
      </c>
      <c r="J716" s="1" t="s">
        <v>22</v>
      </c>
      <c r="K716" s="4">
        <f t="shared" ca="1" si="55"/>
        <v>6.4</v>
      </c>
      <c r="L716" t="str">
        <f t="shared" si="56"/>
        <v>Medium</v>
      </c>
      <c r="M716" t="str">
        <f t="shared" si="57"/>
        <v>High</v>
      </c>
      <c r="N716" t="str">
        <f t="shared" si="58"/>
        <v>No PIP</v>
      </c>
      <c r="O716" t="str">
        <f t="shared" ca="1" si="59"/>
        <v>Eligible</v>
      </c>
    </row>
    <row r="717" spans="1:15" x14ac:dyDescent="0.25">
      <c r="A717" t="s">
        <v>33</v>
      </c>
      <c r="B717">
        <v>35</v>
      </c>
      <c r="C717">
        <v>70000</v>
      </c>
      <c r="D717" t="s">
        <v>14</v>
      </c>
      <c r="E717" t="s">
        <v>10</v>
      </c>
      <c r="F717" t="s">
        <v>30</v>
      </c>
      <c r="G717" s="1">
        <v>43800</v>
      </c>
      <c r="H717" s="1" t="s">
        <v>12</v>
      </c>
      <c r="I717" s="1" t="s">
        <v>18</v>
      </c>
      <c r="J717" s="1" t="s">
        <v>32</v>
      </c>
      <c r="K717" s="4">
        <f t="shared" ca="1" si="55"/>
        <v>6.4</v>
      </c>
      <c r="L717" t="str">
        <f t="shared" si="56"/>
        <v>High</v>
      </c>
      <c r="M717" t="str">
        <f t="shared" si="57"/>
        <v>Low</v>
      </c>
      <c r="N717" t="str">
        <f t="shared" si="58"/>
        <v>PIP</v>
      </c>
      <c r="O717" t="str">
        <f t="shared" ca="1" si="59"/>
        <v>Not Eligible</v>
      </c>
    </row>
    <row r="718" spans="1:15" x14ac:dyDescent="0.25">
      <c r="A718" t="s">
        <v>33</v>
      </c>
      <c r="B718">
        <v>35</v>
      </c>
      <c r="C718">
        <v>70000</v>
      </c>
      <c r="D718" t="s">
        <v>9</v>
      </c>
      <c r="E718" t="s">
        <v>15</v>
      </c>
      <c r="F718" t="s">
        <v>30</v>
      </c>
      <c r="G718" s="1">
        <v>43800</v>
      </c>
      <c r="H718" s="1" t="s">
        <v>17</v>
      </c>
      <c r="I718" s="1" t="s">
        <v>18</v>
      </c>
      <c r="J718" s="1" t="s">
        <v>19</v>
      </c>
      <c r="K718" s="4">
        <f t="shared" ca="1" si="55"/>
        <v>6.4</v>
      </c>
      <c r="L718" t="str">
        <f t="shared" si="56"/>
        <v>High</v>
      </c>
      <c r="M718" t="str">
        <f t="shared" si="57"/>
        <v>Low</v>
      </c>
      <c r="N718" t="str">
        <f t="shared" si="58"/>
        <v>PIP</v>
      </c>
      <c r="O718" t="str">
        <f t="shared" ca="1" si="59"/>
        <v>Not Eligible</v>
      </c>
    </row>
    <row r="719" spans="1:15" x14ac:dyDescent="0.25">
      <c r="A719" t="s">
        <v>38</v>
      </c>
      <c r="B719">
        <v>25</v>
      </c>
      <c r="C719">
        <v>50000</v>
      </c>
      <c r="D719" t="s">
        <v>9</v>
      </c>
      <c r="E719" t="s">
        <v>20</v>
      </c>
      <c r="F719" t="s">
        <v>31</v>
      </c>
      <c r="G719" s="1">
        <v>43800</v>
      </c>
      <c r="H719" s="1" t="s">
        <v>29</v>
      </c>
      <c r="I719" s="1" t="s">
        <v>44</v>
      </c>
      <c r="J719" s="1" t="s">
        <v>44</v>
      </c>
      <c r="K719" s="4">
        <f t="shared" ca="1" si="55"/>
        <v>6.4</v>
      </c>
      <c r="L719" t="str">
        <f t="shared" si="56"/>
        <v>Low</v>
      </c>
      <c r="M719" t="str">
        <f t="shared" si="57"/>
        <v>Medium</v>
      </c>
      <c r="N719" t="str">
        <f t="shared" si="58"/>
        <v>No PIP</v>
      </c>
      <c r="O719" t="str">
        <f t="shared" ca="1" si="59"/>
        <v>Not Eligible</v>
      </c>
    </row>
    <row r="720" spans="1:15" x14ac:dyDescent="0.25">
      <c r="A720" t="s">
        <v>41</v>
      </c>
      <c r="B720">
        <v>35</v>
      </c>
      <c r="C720">
        <v>65000</v>
      </c>
      <c r="D720" t="s">
        <v>14</v>
      </c>
      <c r="E720" t="s">
        <v>20</v>
      </c>
      <c r="F720" t="s">
        <v>28</v>
      </c>
      <c r="G720" s="1">
        <v>43800</v>
      </c>
      <c r="H720" s="1" t="s">
        <v>24</v>
      </c>
      <c r="I720" s="1" t="s">
        <v>13</v>
      </c>
      <c r="J720" s="1" t="s">
        <v>44</v>
      </c>
      <c r="K720" s="4">
        <f t="shared" ca="1" si="55"/>
        <v>6.4</v>
      </c>
      <c r="L720" t="str">
        <f t="shared" si="56"/>
        <v>High</v>
      </c>
      <c r="M720" t="str">
        <f t="shared" si="57"/>
        <v>High</v>
      </c>
      <c r="N720" t="str">
        <f t="shared" si="58"/>
        <v>No PIP</v>
      </c>
      <c r="O720" t="str">
        <f t="shared" ca="1" si="59"/>
        <v>Eligible</v>
      </c>
    </row>
    <row r="721" spans="1:15" x14ac:dyDescent="0.25">
      <c r="A721" t="s">
        <v>35</v>
      </c>
      <c r="B721">
        <v>35</v>
      </c>
      <c r="C721">
        <v>60000</v>
      </c>
      <c r="D721" t="s">
        <v>9</v>
      </c>
      <c r="E721" t="s">
        <v>10</v>
      </c>
      <c r="F721" t="s">
        <v>11</v>
      </c>
      <c r="G721" s="1">
        <v>43800</v>
      </c>
      <c r="H721" s="1" t="s">
        <v>17</v>
      </c>
      <c r="I721" s="1" t="s">
        <v>25</v>
      </c>
      <c r="J721" s="1" t="s">
        <v>44</v>
      </c>
      <c r="K721" s="4">
        <f t="shared" ca="1" si="55"/>
        <v>6.4</v>
      </c>
      <c r="L721" t="str">
        <f t="shared" si="56"/>
        <v>Medium</v>
      </c>
      <c r="M721" t="str">
        <f t="shared" si="57"/>
        <v>Low</v>
      </c>
      <c r="N721" t="str">
        <f t="shared" si="58"/>
        <v>PIP</v>
      </c>
      <c r="O721" t="str">
        <f t="shared" ca="1" si="59"/>
        <v>Not Eligible</v>
      </c>
    </row>
    <row r="722" spans="1:15" x14ac:dyDescent="0.25">
      <c r="A722" t="s">
        <v>37</v>
      </c>
      <c r="B722">
        <v>40</v>
      </c>
      <c r="C722">
        <v>60000</v>
      </c>
      <c r="D722" t="s">
        <v>26</v>
      </c>
      <c r="E722" t="s">
        <v>23</v>
      </c>
      <c r="F722" t="s">
        <v>16</v>
      </c>
      <c r="G722" s="1">
        <v>43800</v>
      </c>
      <c r="H722" s="1" t="s">
        <v>24</v>
      </c>
      <c r="I722" s="1" t="s">
        <v>18</v>
      </c>
      <c r="J722" s="1" t="s">
        <v>32</v>
      </c>
      <c r="K722" s="4">
        <f t="shared" ca="1" si="55"/>
        <v>6.4</v>
      </c>
      <c r="L722" t="str">
        <f t="shared" si="56"/>
        <v>Medium</v>
      </c>
      <c r="M722" t="str">
        <f t="shared" si="57"/>
        <v>High</v>
      </c>
      <c r="N722" t="str">
        <f t="shared" si="58"/>
        <v>No PIP</v>
      </c>
      <c r="O722" t="str">
        <f t="shared" ca="1" si="59"/>
        <v>Eligible</v>
      </c>
    </row>
    <row r="723" spans="1:15" x14ac:dyDescent="0.25">
      <c r="A723" t="s">
        <v>40</v>
      </c>
      <c r="B723">
        <v>35</v>
      </c>
      <c r="C723">
        <v>55000</v>
      </c>
      <c r="D723" t="s">
        <v>26</v>
      </c>
      <c r="E723" t="s">
        <v>20</v>
      </c>
      <c r="F723" t="s">
        <v>31</v>
      </c>
      <c r="G723" s="1">
        <v>43800</v>
      </c>
      <c r="H723" s="1" t="s">
        <v>21</v>
      </c>
      <c r="I723" s="1" t="s">
        <v>44</v>
      </c>
      <c r="J723" s="1" t="s">
        <v>44</v>
      </c>
      <c r="K723" s="4">
        <f t="shared" ca="1" si="55"/>
        <v>6.4</v>
      </c>
      <c r="L723" t="str">
        <f t="shared" si="56"/>
        <v>Low</v>
      </c>
      <c r="M723" t="str">
        <f t="shared" si="57"/>
        <v>Medium</v>
      </c>
      <c r="N723" t="str">
        <f t="shared" si="58"/>
        <v>No PIP</v>
      </c>
      <c r="O723" t="str">
        <f t="shared" ca="1" si="59"/>
        <v>Not Eligible</v>
      </c>
    </row>
    <row r="724" spans="1:15" x14ac:dyDescent="0.25">
      <c r="A724" t="s">
        <v>38</v>
      </c>
      <c r="B724">
        <v>40</v>
      </c>
      <c r="C724">
        <v>60216</v>
      </c>
      <c r="D724" t="s">
        <v>9</v>
      </c>
      <c r="E724" t="s">
        <v>20</v>
      </c>
      <c r="F724" t="s">
        <v>31</v>
      </c>
      <c r="G724" s="1">
        <v>43800</v>
      </c>
      <c r="H724" s="1" t="s">
        <v>21</v>
      </c>
      <c r="I724" s="1" t="s">
        <v>13</v>
      </c>
      <c r="J724" s="1" t="s">
        <v>44</v>
      </c>
      <c r="K724" s="4">
        <f t="shared" ca="1" si="55"/>
        <v>6.4</v>
      </c>
      <c r="L724" t="str">
        <f t="shared" si="56"/>
        <v>Medium</v>
      </c>
      <c r="M724" t="str">
        <f t="shared" si="57"/>
        <v>Medium</v>
      </c>
      <c r="N724" t="str">
        <f t="shared" si="58"/>
        <v>No PIP</v>
      </c>
      <c r="O724" t="str">
        <f t="shared" ca="1" si="59"/>
        <v>Not Eligible</v>
      </c>
    </row>
    <row r="725" spans="1:15" x14ac:dyDescent="0.25">
      <c r="A725" t="s">
        <v>38</v>
      </c>
      <c r="B725">
        <v>30</v>
      </c>
      <c r="C725">
        <v>65000</v>
      </c>
      <c r="D725" t="s">
        <v>14</v>
      </c>
      <c r="E725" t="s">
        <v>20</v>
      </c>
      <c r="F725" t="s">
        <v>31</v>
      </c>
      <c r="G725" s="1">
        <v>43800</v>
      </c>
      <c r="H725" s="1" t="s">
        <v>21</v>
      </c>
      <c r="I725" s="1" t="s">
        <v>13</v>
      </c>
      <c r="J725" s="1" t="s">
        <v>44</v>
      </c>
      <c r="K725" s="4">
        <f t="shared" ca="1" si="55"/>
        <v>6.4</v>
      </c>
      <c r="L725" t="str">
        <f t="shared" si="56"/>
        <v>High</v>
      </c>
      <c r="M725" t="str">
        <f t="shared" si="57"/>
        <v>Medium</v>
      </c>
      <c r="N725" t="str">
        <f t="shared" si="58"/>
        <v>No PIP</v>
      </c>
      <c r="O725" t="str">
        <f t="shared" ca="1" si="59"/>
        <v>Not Eligible</v>
      </c>
    </row>
    <row r="726" spans="1:15" x14ac:dyDescent="0.25">
      <c r="A726" t="s">
        <v>33</v>
      </c>
      <c r="B726">
        <v>35</v>
      </c>
      <c r="C726">
        <v>50000</v>
      </c>
      <c r="D726" t="s">
        <v>26</v>
      </c>
      <c r="E726" t="s">
        <v>23</v>
      </c>
      <c r="F726" t="s">
        <v>11</v>
      </c>
      <c r="G726" s="1">
        <v>43800</v>
      </c>
      <c r="H726" s="1" t="s">
        <v>21</v>
      </c>
      <c r="I726" s="1" t="s">
        <v>13</v>
      </c>
      <c r="J726" s="1" t="s">
        <v>44</v>
      </c>
      <c r="K726" s="4">
        <f t="shared" ca="1" si="55"/>
        <v>6.4</v>
      </c>
      <c r="L726" t="str">
        <f t="shared" si="56"/>
        <v>Low</v>
      </c>
      <c r="M726" t="str">
        <f t="shared" si="57"/>
        <v>Medium</v>
      </c>
      <c r="N726" t="str">
        <f t="shared" si="58"/>
        <v>No PIP</v>
      </c>
      <c r="O726" t="str">
        <f t="shared" ca="1" si="59"/>
        <v>Not Eligible</v>
      </c>
    </row>
    <row r="727" spans="1:15" x14ac:dyDescent="0.25">
      <c r="A727" t="s">
        <v>36</v>
      </c>
      <c r="B727">
        <v>35</v>
      </c>
      <c r="C727">
        <v>50000</v>
      </c>
      <c r="D727" t="s">
        <v>26</v>
      </c>
      <c r="E727" t="s">
        <v>15</v>
      </c>
      <c r="F727" t="s">
        <v>28</v>
      </c>
      <c r="G727" s="1">
        <v>43800</v>
      </c>
      <c r="H727" s="1" t="s">
        <v>12</v>
      </c>
      <c r="I727" s="1" t="s">
        <v>25</v>
      </c>
      <c r="J727" s="1" t="s">
        <v>44</v>
      </c>
      <c r="K727" s="4">
        <f t="shared" ca="1" si="55"/>
        <v>6.4</v>
      </c>
      <c r="L727" t="str">
        <f t="shared" si="56"/>
        <v>Low</v>
      </c>
      <c r="M727" t="str">
        <f t="shared" si="57"/>
        <v>Low</v>
      </c>
      <c r="N727" t="str">
        <f t="shared" si="58"/>
        <v>PIP</v>
      </c>
      <c r="O727" t="str">
        <f t="shared" ca="1" si="59"/>
        <v>Not Eligible</v>
      </c>
    </row>
    <row r="728" spans="1:15" x14ac:dyDescent="0.25">
      <c r="A728" t="s">
        <v>42</v>
      </c>
      <c r="B728">
        <v>30</v>
      </c>
      <c r="C728">
        <v>60216</v>
      </c>
      <c r="D728" t="s">
        <v>26</v>
      </c>
      <c r="E728" t="s">
        <v>15</v>
      </c>
      <c r="F728" t="s">
        <v>11</v>
      </c>
      <c r="G728" s="1">
        <v>43800</v>
      </c>
      <c r="H728" s="1" t="s">
        <v>17</v>
      </c>
      <c r="I728" s="1" t="s">
        <v>18</v>
      </c>
      <c r="J728" s="1" t="s">
        <v>32</v>
      </c>
      <c r="K728" s="4">
        <f t="shared" ca="1" si="55"/>
        <v>6.4</v>
      </c>
      <c r="L728" t="str">
        <f t="shared" si="56"/>
        <v>Medium</v>
      </c>
      <c r="M728" t="str">
        <f t="shared" si="57"/>
        <v>Low</v>
      </c>
      <c r="N728" t="str">
        <f t="shared" si="58"/>
        <v>PIP</v>
      </c>
      <c r="O728" t="str">
        <f t="shared" ca="1" si="59"/>
        <v>Not Eligible</v>
      </c>
    </row>
    <row r="729" spans="1:15" x14ac:dyDescent="0.25">
      <c r="A729" t="s">
        <v>42</v>
      </c>
      <c r="B729">
        <v>35</v>
      </c>
      <c r="C729">
        <v>60216</v>
      </c>
      <c r="D729" t="s">
        <v>26</v>
      </c>
      <c r="E729" t="s">
        <v>23</v>
      </c>
      <c r="F729" t="s">
        <v>31</v>
      </c>
      <c r="G729" s="1">
        <v>43800</v>
      </c>
      <c r="H729" s="1" t="s">
        <v>21</v>
      </c>
      <c r="I729" s="1" t="s">
        <v>44</v>
      </c>
      <c r="J729" s="1" t="s">
        <v>44</v>
      </c>
      <c r="K729" s="4">
        <f t="shared" ca="1" si="55"/>
        <v>6.4</v>
      </c>
      <c r="L729" t="str">
        <f t="shared" si="56"/>
        <v>Medium</v>
      </c>
      <c r="M729" t="str">
        <f t="shared" si="57"/>
        <v>Medium</v>
      </c>
      <c r="N729" t="str">
        <f t="shared" si="58"/>
        <v>No PIP</v>
      </c>
      <c r="O729" t="str">
        <f t="shared" ca="1" si="59"/>
        <v>Not Eligible</v>
      </c>
    </row>
    <row r="730" spans="1:15" x14ac:dyDescent="0.25">
      <c r="A730" t="s">
        <v>41</v>
      </c>
      <c r="B730">
        <v>35</v>
      </c>
      <c r="C730">
        <v>70000</v>
      </c>
      <c r="D730" t="s">
        <v>9</v>
      </c>
      <c r="E730" t="s">
        <v>20</v>
      </c>
      <c r="F730" t="s">
        <v>31</v>
      </c>
      <c r="G730" s="1">
        <v>43800</v>
      </c>
      <c r="H730" s="1" t="s">
        <v>12</v>
      </c>
      <c r="I730" s="1" t="s">
        <v>44</v>
      </c>
      <c r="J730" s="1" t="s">
        <v>44</v>
      </c>
      <c r="K730" s="4">
        <f t="shared" ca="1" si="55"/>
        <v>6.4</v>
      </c>
      <c r="L730" t="str">
        <f t="shared" si="56"/>
        <v>High</v>
      </c>
      <c r="M730" t="str">
        <f t="shared" si="57"/>
        <v>Low</v>
      </c>
      <c r="N730" t="str">
        <f t="shared" si="58"/>
        <v>PIP</v>
      </c>
      <c r="O730" t="str">
        <f t="shared" ca="1" si="59"/>
        <v>Not Eligible</v>
      </c>
    </row>
    <row r="731" spans="1:15" x14ac:dyDescent="0.25">
      <c r="A731" t="s">
        <v>39</v>
      </c>
      <c r="B731">
        <v>30</v>
      </c>
      <c r="C731">
        <v>60216</v>
      </c>
      <c r="D731" t="s">
        <v>14</v>
      </c>
      <c r="E731" t="s">
        <v>15</v>
      </c>
      <c r="F731" t="s">
        <v>11</v>
      </c>
      <c r="G731" s="1">
        <v>43800</v>
      </c>
      <c r="H731" s="1" t="s">
        <v>17</v>
      </c>
      <c r="I731" s="1" t="s">
        <v>25</v>
      </c>
      <c r="J731" s="1" t="s">
        <v>22</v>
      </c>
      <c r="K731" s="4">
        <f t="shared" ca="1" si="55"/>
        <v>6.4</v>
      </c>
      <c r="L731" t="str">
        <f t="shared" si="56"/>
        <v>Medium</v>
      </c>
      <c r="M731" t="str">
        <f t="shared" si="57"/>
        <v>Low</v>
      </c>
      <c r="N731" t="str">
        <f t="shared" si="58"/>
        <v>PIP</v>
      </c>
      <c r="O731" t="str">
        <f t="shared" ca="1" si="59"/>
        <v>Not Eligible</v>
      </c>
    </row>
    <row r="732" spans="1:15" x14ac:dyDescent="0.25">
      <c r="A732" t="s">
        <v>35</v>
      </c>
      <c r="B732">
        <v>40</v>
      </c>
      <c r="C732">
        <v>55000</v>
      </c>
      <c r="D732" t="s">
        <v>26</v>
      </c>
      <c r="E732" t="s">
        <v>20</v>
      </c>
      <c r="F732" t="s">
        <v>11</v>
      </c>
      <c r="G732" s="1">
        <v>43800</v>
      </c>
      <c r="H732" s="1" t="s">
        <v>24</v>
      </c>
      <c r="I732" s="1" t="s">
        <v>13</v>
      </c>
      <c r="J732" s="1" t="s">
        <v>19</v>
      </c>
      <c r="K732" s="4">
        <f t="shared" ca="1" si="55"/>
        <v>6.4</v>
      </c>
      <c r="L732" t="str">
        <f t="shared" si="56"/>
        <v>Low</v>
      </c>
      <c r="M732" t="str">
        <f t="shared" si="57"/>
        <v>High</v>
      </c>
      <c r="N732" t="str">
        <f t="shared" si="58"/>
        <v>No PIP</v>
      </c>
      <c r="O732" t="str">
        <f t="shared" ca="1" si="59"/>
        <v>Eligible</v>
      </c>
    </row>
    <row r="733" spans="1:15" x14ac:dyDescent="0.25">
      <c r="A733" t="s">
        <v>35</v>
      </c>
      <c r="B733">
        <v>35</v>
      </c>
      <c r="C733">
        <v>70000</v>
      </c>
      <c r="D733" t="s">
        <v>14</v>
      </c>
      <c r="E733" t="s">
        <v>20</v>
      </c>
      <c r="F733" t="s">
        <v>31</v>
      </c>
      <c r="G733" s="1">
        <v>43800</v>
      </c>
      <c r="H733" s="1" t="s">
        <v>29</v>
      </c>
      <c r="I733" s="1" t="s">
        <v>13</v>
      </c>
      <c r="J733" s="1" t="s">
        <v>44</v>
      </c>
      <c r="K733" s="4">
        <f t="shared" ca="1" si="55"/>
        <v>6.4</v>
      </c>
      <c r="L733" t="str">
        <f t="shared" si="56"/>
        <v>High</v>
      </c>
      <c r="M733" t="str">
        <f t="shared" si="57"/>
        <v>Medium</v>
      </c>
      <c r="N733" t="str">
        <f t="shared" si="58"/>
        <v>No PIP</v>
      </c>
      <c r="O733" t="str">
        <f t="shared" ca="1" si="59"/>
        <v>Not Eligible</v>
      </c>
    </row>
    <row r="734" spans="1:15" x14ac:dyDescent="0.25">
      <c r="A734" t="s">
        <v>37</v>
      </c>
      <c r="B734">
        <v>35</v>
      </c>
      <c r="C734">
        <v>60216</v>
      </c>
      <c r="D734" t="s">
        <v>9</v>
      </c>
      <c r="E734" t="s">
        <v>23</v>
      </c>
      <c r="F734" t="s">
        <v>30</v>
      </c>
      <c r="G734" s="1">
        <v>43800</v>
      </c>
      <c r="H734" s="1" t="s">
        <v>21</v>
      </c>
      <c r="I734" s="1" t="s">
        <v>13</v>
      </c>
      <c r="J734" s="1" t="s">
        <v>32</v>
      </c>
      <c r="K734" s="4">
        <f t="shared" ca="1" si="55"/>
        <v>6.4</v>
      </c>
      <c r="L734" t="str">
        <f t="shared" si="56"/>
        <v>Medium</v>
      </c>
      <c r="M734" t="str">
        <f t="shared" si="57"/>
        <v>Medium</v>
      </c>
      <c r="N734" t="str">
        <f t="shared" si="58"/>
        <v>No PIP</v>
      </c>
      <c r="O734" t="str">
        <f t="shared" ca="1" si="59"/>
        <v>Not Eligible</v>
      </c>
    </row>
    <row r="735" spans="1:15" x14ac:dyDescent="0.25">
      <c r="A735" t="s">
        <v>36</v>
      </c>
      <c r="B735">
        <v>35</v>
      </c>
      <c r="C735">
        <v>60216</v>
      </c>
      <c r="D735" t="s">
        <v>9</v>
      </c>
      <c r="E735" t="s">
        <v>15</v>
      </c>
      <c r="F735" t="s">
        <v>30</v>
      </c>
      <c r="G735" s="1">
        <v>43800</v>
      </c>
      <c r="H735" s="1" t="s">
        <v>21</v>
      </c>
      <c r="I735" s="1" t="s">
        <v>44</v>
      </c>
      <c r="J735" s="1" t="s">
        <v>19</v>
      </c>
      <c r="K735" s="4">
        <f t="shared" ca="1" si="55"/>
        <v>6.4</v>
      </c>
      <c r="L735" t="str">
        <f t="shared" si="56"/>
        <v>Medium</v>
      </c>
      <c r="M735" t="str">
        <f t="shared" si="57"/>
        <v>Medium</v>
      </c>
      <c r="N735" t="str">
        <f t="shared" si="58"/>
        <v>No PIP</v>
      </c>
      <c r="O735" t="str">
        <f t="shared" ca="1" si="59"/>
        <v>Not Eligible</v>
      </c>
    </row>
    <row r="736" spans="1:15" x14ac:dyDescent="0.25">
      <c r="A736" t="s">
        <v>34</v>
      </c>
      <c r="B736">
        <v>35</v>
      </c>
      <c r="C736">
        <v>60000</v>
      </c>
      <c r="D736" t="s">
        <v>14</v>
      </c>
      <c r="E736" t="s">
        <v>10</v>
      </c>
      <c r="F736" t="s">
        <v>11</v>
      </c>
      <c r="G736" s="1">
        <v>43800</v>
      </c>
      <c r="H736" s="1" t="s">
        <v>21</v>
      </c>
      <c r="I736" s="1" t="s">
        <v>44</v>
      </c>
      <c r="J736" s="1" t="s">
        <v>19</v>
      </c>
      <c r="K736" s="4">
        <f t="shared" ca="1" si="55"/>
        <v>6.4</v>
      </c>
      <c r="L736" t="str">
        <f t="shared" si="56"/>
        <v>Medium</v>
      </c>
      <c r="M736" t="str">
        <f t="shared" si="57"/>
        <v>Medium</v>
      </c>
      <c r="N736" t="str">
        <f t="shared" si="58"/>
        <v>No PIP</v>
      </c>
      <c r="O736" t="str">
        <f t="shared" ca="1" si="59"/>
        <v>Not Eligible</v>
      </c>
    </row>
    <row r="737" spans="1:15" x14ac:dyDescent="0.25">
      <c r="A737" t="s">
        <v>36</v>
      </c>
      <c r="B737">
        <v>30</v>
      </c>
      <c r="C737">
        <v>60216</v>
      </c>
      <c r="D737" t="s">
        <v>26</v>
      </c>
      <c r="E737" t="s">
        <v>15</v>
      </c>
      <c r="F737" t="s">
        <v>30</v>
      </c>
      <c r="G737" s="1">
        <v>43800</v>
      </c>
      <c r="H737" s="1" t="s">
        <v>29</v>
      </c>
      <c r="I737" s="1" t="s">
        <v>13</v>
      </c>
      <c r="J737" s="1" t="s">
        <v>44</v>
      </c>
      <c r="K737" s="4">
        <f t="shared" ca="1" si="55"/>
        <v>6.4</v>
      </c>
      <c r="L737" t="str">
        <f t="shared" si="56"/>
        <v>Medium</v>
      </c>
      <c r="M737" t="str">
        <f t="shared" si="57"/>
        <v>Medium</v>
      </c>
      <c r="N737" t="str">
        <f t="shared" si="58"/>
        <v>No PIP</v>
      </c>
      <c r="O737" t="str">
        <f t="shared" ca="1" si="59"/>
        <v>Not Eligible</v>
      </c>
    </row>
    <row r="738" spans="1:15" x14ac:dyDescent="0.25">
      <c r="A738" t="s">
        <v>34</v>
      </c>
      <c r="B738">
        <v>30</v>
      </c>
      <c r="C738">
        <v>65000</v>
      </c>
      <c r="D738" t="s">
        <v>14</v>
      </c>
      <c r="E738" t="s">
        <v>10</v>
      </c>
      <c r="F738" t="s">
        <v>31</v>
      </c>
      <c r="G738" s="1">
        <v>43800</v>
      </c>
      <c r="H738" s="1" t="s">
        <v>24</v>
      </c>
      <c r="I738" s="1" t="s">
        <v>18</v>
      </c>
      <c r="J738" s="1" t="s">
        <v>44</v>
      </c>
      <c r="K738" s="4">
        <f t="shared" ca="1" si="55"/>
        <v>6.4</v>
      </c>
      <c r="L738" t="str">
        <f t="shared" si="56"/>
        <v>High</v>
      </c>
      <c r="M738" t="str">
        <f t="shared" si="57"/>
        <v>High</v>
      </c>
      <c r="N738" t="str">
        <f t="shared" si="58"/>
        <v>No PIP</v>
      </c>
      <c r="O738" t="str">
        <f t="shared" ca="1" si="59"/>
        <v>Eligible</v>
      </c>
    </row>
    <row r="739" spans="1:15" x14ac:dyDescent="0.25">
      <c r="A739" t="s">
        <v>36</v>
      </c>
      <c r="B739">
        <v>35</v>
      </c>
      <c r="C739">
        <v>70000</v>
      </c>
      <c r="D739" t="s">
        <v>26</v>
      </c>
      <c r="E739" t="s">
        <v>20</v>
      </c>
      <c r="F739" t="s">
        <v>28</v>
      </c>
      <c r="G739" s="1">
        <v>43800</v>
      </c>
      <c r="H739" s="1" t="s">
        <v>12</v>
      </c>
      <c r="I739" s="1" t="s">
        <v>44</v>
      </c>
      <c r="J739" s="1" t="s">
        <v>22</v>
      </c>
      <c r="K739" s="4">
        <f t="shared" ca="1" si="55"/>
        <v>6.4</v>
      </c>
      <c r="L739" t="str">
        <f t="shared" si="56"/>
        <v>High</v>
      </c>
      <c r="M739" t="str">
        <f t="shared" si="57"/>
        <v>Low</v>
      </c>
      <c r="N739" t="str">
        <f t="shared" si="58"/>
        <v>PIP</v>
      </c>
      <c r="O739" t="str">
        <f t="shared" ca="1" si="59"/>
        <v>Not Eligible</v>
      </c>
    </row>
    <row r="740" spans="1:15" x14ac:dyDescent="0.25">
      <c r="A740" t="s">
        <v>35</v>
      </c>
      <c r="B740">
        <v>35</v>
      </c>
      <c r="C740">
        <v>60216</v>
      </c>
      <c r="D740" t="s">
        <v>9</v>
      </c>
      <c r="E740" t="s">
        <v>20</v>
      </c>
      <c r="F740" t="s">
        <v>30</v>
      </c>
      <c r="G740" s="1">
        <v>43800</v>
      </c>
      <c r="H740" s="1" t="s">
        <v>12</v>
      </c>
      <c r="I740" s="1" t="s">
        <v>13</v>
      </c>
      <c r="J740" s="1" t="s">
        <v>22</v>
      </c>
      <c r="K740" s="4">
        <f t="shared" ca="1" si="55"/>
        <v>6.4</v>
      </c>
      <c r="L740" t="str">
        <f t="shared" si="56"/>
        <v>Medium</v>
      </c>
      <c r="M740" t="str">
        <f t="shared" si="57"/>
        <v>Low</v>
      </c>
      <c r="N740" t="str">
        <f t="shared" si="58"/>
        <v>PIP</v>
      </c>
      <c r="O740" t="str">
        <f t="shared" ca="1" si="59"/>
        <v>Not Eligible</v>
      </c>
    </row>
    <row r="741" spans="1:15" x14ac:dyDescent="0.25">
      <c r="A741" t="s">
        <v>41</v>
      </c>
      <c r="B741">
        <v>35</v>
      </c>
      <c r="C741">
        <v>70000</v>
      </c>
      <c r="D741" t="s">
        <v>26</v>
      </c>
      <c r="E741" t="s">
        <v>15</v>
      </c>
      <c r="F741" t="s">
        <v>31</v>
      </c>
      <c r="G741" s="1">
        <v>43800</v>
      </c>
      <c r="H741" s="1" t="s">
        <v>12</v>
      </c>
      <c r="I741" s="1" t="s">
        <v>25</v>
      </c>
      <c r="J741" s="1" t="s">
        <v>19</v>
      </c>
      <c r="K741" s="4">
        <f t="shared" ca="1" si="55"/>
        <v>6.4</v>
      </c>
      <c r="L741" t="str">
        <f t="shared" si="56"/>
        <v>High</v>
      </c>
      <c r="M741" t="str">
        <f t="shared" si="57"/>
        <v>Low</v>
      </c>
      <c r="N741" t="str">
        <f t="shared" si="58"/>
        <v>PIP</v>
      </c>
      <c r="O741" t="str">
        <f t="shared" ca="1" si="59"/>
        <v>Not Eligible</v>
      </c>
    </row>
    <row r="742" spans="1:15" x14ac:dyDescent="0.25">
      <c r="A742" t="s">
        <v>38</v>
      </c>
      <c r="B742">
        <v>40</v>
      </c>
      <c r="C742">
        <v>55000</v>
      </c>
      <c r="D742" t="s">
        <v>26</v>
      </c>
      <c r="E742" t="s">
        <v>15</v>
      </c>
      <c r="F742" t="s">
        <v>11</v>
      </c>
      <c r="G742" s="1">
        <v>43800</v>
      </c>
      <c r="H742" s="1" t="s">
        <v>24</v>
      </c>
      <c r="I742" s="1" t="s">
        <v>44</v>
      </c>
      <c r="J742" s="1" t="s">
        <v>32</v>
      </c>
      <c r="K742" s="4">
        <f t="shared" ca="1" si="55"/>
        <v>6.4</v>
      </c>
      <c r="L742" t="str">
        <f t="shared" si="56"/>
        <v>Low</v>
      </c>
      <c r="M742" t="str">
        <f t="shared" si="57"/>
        <v>High</v>
      </c>
      <c r="N742" t="str">
        <f t="shared" si="58"/>
        <v>No PIP</v>
      </c>
      <c r="O742" t="str">
        <f t="shared" ca="1" si="59"/>
        <v>Eligible</v>
      </c>
    </row>
    <row r="743" spans="1:15" x14ac:dyDescent="0.25">
      <c r="A743" t="s">
        <v>41</v>
      </c>
      <c r="B743">
        <v>35</v>
      </c>
      <c r="C743">
        <v>50000</v>
      </c>
      <c r="D743" t="s">
        <v>14</v>
      </c>
      <c r="E743" t="s">
        <v>27</v>
      </c>
      <c r="F743" t="s">
        <v>30</v>
      </c>
      <c r="G743" s="1">
        <v>43800</v>
      </c>
      <c r="H743" s="1" t="s">
        <v>29</v>
      </c>
      <c r="I743" s="1" t="s">
        <v>44</v>
      </c>
      <c r="J743" s="1" t="s">
        <v>44</v>
      </c>
      <c r="K743" s="4">
        <f t="shared" ca="1" si="55"/>
        <v>6.4</v>
      </c>
      <c r="L743" t="str">
        <f t="shared" si="56"/>
        <v>Low</v>
      </c>
      <c r="M743" t="str">
        <f t="shared" si="57"/>
        <v>Medium</v>
      </c>
      <c r="N743" t="str">
        <f t="shared" si="58"/>
        <v>No PIP</v>
      </c>
      <c r="O743" t="str">
        <f t="shared" ca="1" si="59"/>
        <v>Not Eligible</v>
      </c>
    </row>
    <row r="744" spans="1:15" x14ac:dyDescent="0.25">
      <c r="A744" t="s">
        <v>42</v>
      </c>
      <c r="B744">
        <v>35</v>
      </c>
      <c r="C744">
        <v>50000</v>
      </c>
      <c r="D744" t="s">
        <v>14</v>
      </c>
      <c r="E744" t="s">
        <v>15</v>
      </c>
      <c r="F744" t="s">
        <v>11</v>
      </c>
      <c r="G744" s="1">
        <v>43800</v>
      </c>
      <c r="H744" s="1" t="s">
        <v>12</v>
      </c>
      <c r="I744" s="1" t="s">
        <v>18</v>
      </c>
      <c r="J744" s="1" t="s">
        <v>32</v>
      </c>
      <c r="K744" s="4">
        <f t="shared" ca="1" si="55"/>
        <v>6.4</v>
      </c>
      <c r="L744" t="str">
        <f t="shared" si="56"/>
        <v>Low</v>
      </c>
      <c r="M744" t="str">
        <f t="shared" si="57"/>
        <v>Low</v>
      </c>
      <c r="N744" t="str">
        <f t="shared" si="58"/>
        <v>PIP</v>
      </c>
      <c r="O744" t="str">
        <f t="shared" ca="1" si="59"/>
        <v>Not Eligible</v>
      </c>
    </row>
    <row r="745" spans="1:15" x14ac:dyDescent="0.25">
      <c r="A745" t="s">
        <v>35</v>
      </c>
      <c r="B745">
        <v>40</v>
      </c>
      <c r="C745">
        <v>55000</v>
      </c>
      <c r="D745" t="s">
        <v>14</v>
      </c>
      <c r="E745" t="s">
        <v>15</v>
      </c>
      <c r="F745" t="s">
        <v>30</v>
      </c>
      <c r="G745" s="1">
        <v>43800</v>
      </c>
      <c r="H745" s="1" t="s">
        <v>12</v>
      </c>
      <c r="I745" s="1" t="s">
        <v>44</v>
      </c>
      <c r="J745" s="1" t="s">
        <v>44</v>
      </c>
      <c r="K745" s="4">
        <f t="shared" ca="1" si="55"/>
        <v>6.4</v>
      </c>
      <c r="L745" t="str">
        <f t="shared" si="56"/>
        <v>Low</v>
      </c>
      <c r="M745" t="str">
        <f t="shared" si="57"/>
        <v>Low</v>
      </c>
      <c r="N745" t="str">
        <f t="shared" si="58"/>
        <v>PIP</v>
      </c>
      <c r="O745" t="str">
        <f t="shared" ca="1" si="59"/>
        <v>Not Eligible</v>
      </c>
    </row>
    <row r="746" spans="1:15" x14ac:dyDescent="0.25">
      <c r="A746" t="s">
        <v>40</v>
      </c>
      <c r="B746">
        <v>35</v>
      </c>
      <c r="C746">
        <v>65000</v>
      </c>
      <c r="D746" t="s">
        <v>26</v>
      </c>
      <c r="E746" t="s">
        <v>23</v>
      </c>
      <c r="F746" t="s">
        <v>28</v>
      </c>
      <c r="G746" s="1">
        <v>43800</v>
      </c>
      <c r="H746" s="1" t="s">
        <v>29</v>
      </c>
      <c r="I746" s="1" t="s">
        <v>44</v>
      </c>
      <c r="J746" s="1" t="s">
        <v>32</v>
      </c>
      <c r="K746" s="4">
        <f t="shared" ca="1" si="55"/>
        <v>6.4</v>
      </c>
      <c r="L746" t="str">
        <f t="shared" si="56"/>
        <v>High</v>
      </c>
      <c r="M746" t="str">
        <f t="shared" si="57"/>
        <v>Medium</v>
      </c>
      <c r="N746" t="str">
        <f t="shared" si="58"/>
        <v>No PIP</v>
      </c>
      <c r="O746" t="str">
        <f t="shared" ca="1" si="59"/>
        <v>Not Eligible</v>
      </c>
    </row>
    <row r="747" spans="1:15" x14ac:dyDescent="0.25">
      <c r="A747" t="s">
        <v>41</v>
      </c>
      <c r="B747">
        <v>25</v>
      </c>
      <c r="C747">
        <v>70000</v>
      </c>
      <c r="D747" t="s">
        <v>9</v>
      </c>
      <c r="E747" t="s">
        <v>23</v>
      </c>
      <c r="F747" t="s">
        <v>16</v>
      </c>
      <c r="G747" s="1">
        <v>43800</v>
      </c>
      <c r="H747" s="1" t="s">
        <v>21</v>
      </c>
      <c r="I747" s="1" t="s">
        <v>44</v>
      </c>
      <c r="J747" s="1" t="s">
        <v>44</v>
      </c>
      <c r="K747" s="4">
        <f t="shared" ca="1" si="55"/>
        <v>6.4</v>
      </c>
      <c r="L747" t="str">
        <f t="shared" si="56"/>
        <v>High</v>
      </c>
      <c r="M747" t="str">
        <f t="shared" si="57"/>
        <v>Medium</v>
      </c>
      <c r="N747" t="str">
        <f t="shared" si="58"/>
        <v>No PIP</v>
      </c>
      <c r="O747" t="str">
        <f t="shared" ca="1" si="59"/>
        <v>Not Eligible</v>
      </c>
    </row>
    <row r="748" spans="1:15" x14ac:dyDescent="0.25">
      <c r="A748" t="s">
        <v>40</v>
      </c>
      <c r="B748">
        <v>25</v>
      </c>
      <c r="C748">
        <v>70000</v>
      </c>
      <c r="D748" t="s">
        <v>14</v>
      </c>
      <c r="E748" t="s">
        <v>27</v>
      </c>
      <c r="F748" t="s">
        <v>30</v>
      </c>
      <c r="G748" s="1">
        <v>43800</v>
      </c>
      <c r="H748" s="1" t="s">
        <v>21</v>
      </c>
      <c r="I748" s="1" t="s">
        <v>44</v>
      </c>
      <c r="J748" s="1" t="s">
        <v>44</v>
      </c>
      <c r="K748" s="4">
        <f t="shared" ca="1" si="55"/>
        <v>6.4</v>
      </c>
      <c r="L748" t="str">
        <f t="shared" si="56"/>
        <v>High</v>
      </c>
      <c r="M748" t="str">
        <f t="shared" si="57"/>
        <v>Medium</v>
      </c>
      <c r="N748" t="str">
        <f t="shared" si="58"/>
        <v>No PIP</v>
      </c>
      <c r="O748" t="str">
        <f t="shared" ca="1" si="59"/>
        <v>Not Eligible</v>
      </c>
    </row>
    <row r="749" spans="1:15" x14ac:dyDescent="0.25">
      <c r="A749" t="s">
        <v>40</v>
      </c>
      <c r="B749">
        <v>40</v>
      </c>
      <c r="C749">
        <v>70000</v>
      </c>
      <c r="D749" t="s">
        <v>26</v>
      </c>
      <c r="E749" t="s">
        <v>15</v>
      </c>
      <c r="F749" t="s">
        <v>31</v>
      </c>
      <c r="G749" s="1">
        <v>43800</v>
      </c>
      <c r="H749" s="1" t="s">
        <v>29</v>
      </c>
      <c r="I749" s="1" t="s">
        <v>13</v>
      </c>
      <c r="J749" s="1" t="s">
        <v>44</v>
      </c>
      <c r="K749" s="4">
        <f t="shared" ca="1" si="55"/>
        <v>6.4</v>
      </c>
      <c r="L749" t="str">
        <f t="shared" si="56"/>
        <v>High</v>
      </c>
      <c r="M749" t="str">
        <f t="shared" si="57"/>
        <v>Medium</v>
      </c>
      <c r="N749" t="str">
        <f t="shared" si="58"/>
        <v>No PIP</v>
      </c>
      <c r="O749" t="str">
        <f t="shared" ca="1" si="59"/>
        <v>Not Eligible</v>
      </c>
    </row>
    <row r="750" spans="1:15" x14ac:dyDescent="0.25">
      <c r="A750" t="s">
        <v>33</v>
      </c>
      <c r="B750">
        <v>40</v>
      </c>
      <c r="C750">
        <v>50000</v>
      </c>
      <c r="D750" t="s">
        <v>14</v>
      </c>
      <c r="E750" t="s">
        <v>27</v>
      </c>
      <c r="F750" t="s">
        <v>16</v>
      </c>
      <c r="G750" s="1">
        <v>43800</v>
      </c>
      <c r="H750" s="1" t="s">
        <v>29</v>
      </c>
      <c r="I750" s="1" t="s">
        <v>44</v>
      </c>
      <c r="J750" s="1" t="s">
        <v>19</v>
      </c>
      <c r="K750" s="4">
        <f t="shared" ca="1" si="55"/>
        <v>6.4</v>
      </c>
      <c r="L750" t="str">
        <f t="shared" si="56"/>
        <v>Low</v>
      </c>
      <c r="M750" t="str">
        <f t="shared" si="57"/>
        <v>Medium</v>
      </c>
      <c r="N750" t="str">
        <f t="shared" si="58"/>
        <v>No PIP</v>
      </c>
      <c r="O750" t="str">
        <f t="shared" ca="1" si="59"/>
        <v>Not Eligible</v>
      </c>
    </row>
    <row r="751" spans="1:15" x14ac:dyDescent="0.25">
      <c r="A751" t="s">
        <v>40</v>
      </c>
      <c r="B751">
        <v>50</v>
      </c>
      <c r="C751">
        <v>60216</v>
      </c>
      <c r="D751" t="s">
        <v>14</v>
      </c>
      <c r="E751" t="s">
        <v>20</v>
      </c>
      <c r="F751" t="s">
        <v>30</v>
      </c>
      <c r="G751" s="1">
        <v>43800</v>
      </c>
      <c r="H751" s="1" t="s">
        <v>17</v>
      </c>
      <c r="I751" s="1" t="s">
        <v>44</v>
      </c>
      <c r="J751" s="1" t="s">
        <v>19</v>
      </c>
      <c r="K751" s="4">
        <f t="shared" ca="1" si="55"/>
        <v>6.4</v>
      </c>
      <c r="L751" t="str">
        <f t="shared" si="56"/>
        <v>Medium</v>
      </c>
      <c r="M751" t="str">
        <f t="shared" si="57"/>
        <v>Low</v>
      </c>
      <c r="N751" t="str">
        <f t="shared" si="58"/>
        <v>PIP</v>
      </c>
      <c r="O751" t="str">
        <f t="shared" ca="1" si="59"/>
        <v>Not Eligible</v>
      </c>
    </row>
    <row r="752" spans="1:15" x14ac:dyDescent="0.25">
      <c r="A752" t="s">
        <v>39</v>
      </c>
      <c r="B752">
        <v>35</v>
      </c>
      <c r="C752">
        <v>55000</v>
      </c>
      <c r="D752" t="s">
        <v>14</v>
      </c>
      <c r="E752" t="s">
        <v>20</v>
      </c>
      <c r="F752" t="s">
        <v>30</v>
      </c>
      <c r="G752" s="1">
        <v>43800</v>
      </c>
      <c r="H752" s="1" t="s">
        <v>17</v>
      </c>
      <c r="I752" s="1" t="s">
        <v>25</v>
      </c>
      <c r="J752" s="1" t="s">
        <v>44</v>
      </c>
      <c r="K752" s="4">
        <f t="shared" ca="1" si="55"/>
        <v>6.4</v>
      </c>
      <c r="L752" t="str">
        <f t="shared" si="56"/>
        <v>Low</v>
      </c>
      <c r="M752" t="str">
        <f t="shared" si="57"/>
        <v>Low</v>
      </c>
      <c r="N752" t="str">
        <f t="shared" si="58"/>
        <v>PIP</v>
      </c>
      <c r="O752" t="str">
        <f t="shared" ca="1" si="59"/>
        <v>Not Eligible</v>
      </c>
    </row>
    <row r="753" spans="1:15" x14ac:dyDescent="0.25">
      <c r="A753" t="s">
        <v>33</v>
      </c>
      <c r="B753">
        <v>50</v>
      </c>
      <c r="C753">
        <v>60216</v>
      </c>
      <c r="D753" t="s">
        <v>9</v>
      </c>
      <c r="E753" t="s">
        <v>23</v>
      </c>
      <c r="F753" t="s">
        <v>28</v>
      </c>
      <c r="G753" s="1">
        <v>43800</v>
      </c>
      <c r="H753" s="1" t="s">
        <v>12</v>
      </c>
      <c r="I753" s="1" t="s">
        <v>18</v>
      </c>
      <c r="J753" s="1" t="s">
        <v>44</v>
      </c>
      <c r="K753" s="4">
        <f t="shared" ca="1" si="55"/>
        <v>6.4</v>
      </c>
      <c r="L753" t="str">
        <f t="shared" si="56"/>
        <v>Medium</v>
      </c>
      <c r="M753" t="str">
        <f t="shared" si="57"/>
        <v>Low</v>
      </c>
      <c r="N753" t="str">
        <f t="shared" si="58"/>
        <v>PIP</v>
      </c>
      <c r="O753" t="str">
        <f t="shared" ca="1" si="59"/>
        <v>Not Eligible</v>
      </c>
    </row>
    <row r="754" spans="1:15" x14ac:dyDescent="0.25">
      <c r="A754" t="s">
        <v>34</v>
      </c>
      <c r="B754">
        <v>30</v>
      </c>
      <c r="C754">
        <v>60216</v>
      </c>
      <c r="D754" t="s">
        <v>14</v>
      </c>
      <c r="E754" t="s">
        <v>10</v>
      </c>
      <c r="F754" t="s">
        <v>16</v>
      </c>
      <c r="G754" s="1">
        <v>43800</v>
      </c>
      <c r="H754" s="1" t="s">
        <v>29</v>
      </c>
      <c r="I754" s="1" t="s">
        <v>13</v>
      </c>
      <c r="J754" s="1" t="s">
        <v>19</v>
      </c>
      <c r="K754" s="4">
        <f t="shared" ca="1" si="55"/>
        <v>6.4</v>
      </c>
      <c r="L754" t="str">
        <f t="shared" si="56"/>
        <v>Medium</v>
      </c>
      <c r="M754" t="str">
        <f t="shared" si="57"/>
        <v>Medium</v>
      </c>
      <c r="N754" t="str">
        <f t="shared" si="58"/>
        <v>No PIP</v>
      </c>
      <c r="O754" t="str">
        <f t="shared" ca="1" si="59"/>
        <v>Not Eligible</v>
      </c>
    </row>
    <row r="755" spans="1:15" x14ac:dyDescent="0.25">
      <c r="A755" t="s">
        <v>42</v>
      </c>
      <c r="B755">
        <v>35</v>
      </c>
      <c r="C755">
        <v>60216</v>
      </c>
      <c r="D755" t="s">
        <v>14</v>
      </c>
      <c r="E755" t="s">
        <v>23</v>
      </c>
      <c r="F755" t="s">
        <v>30</v>
      </c>
      <c r="G755" s="1">
        <v>43800</v>
      </c>
      <c r="H755" s="1" t="s">
        <v>29</v>
      </c>
      <c r="I755" s="1" t="s">
        <v>18</v>
      </c>
      <c r="J755" s="1" t="s">
        <v>44</v>
      </c>
      <c r="K755" s="4">
        <f t="shared" ca="1" si="55"/>
        <v>6.4</v>
      </c>
      <c r="L755" t="str">
        <f t="shared" si="56"/>
        <v>Medium</v>
      </c>
      <c r="M755" t="str">
        <f t="shared" si="57"/>
        <v>Medium</v>
      </c>
      <c r="N755" t="str">
        <f t="shared" si="58"/>
        <v>No PIP</v>
      </c>
      <c r="O755" t="str">
        <f t="shared" ca="1" si="59"/>
        <v>Not Eligible</v>
      </c>
    </row>
    <row r="756" spans="1:15" x14ac:dyDescent="0.25">
      <c r="A756" t="s">
        <v>38</v>
      </c>
      <c r="B756">
        <v>30</v>
      </c>
      <c r="C756">
        <v>65000</v>
      </c>
      <c r="D756" t="s">
        <v>14</v>
      </c>
      <c r="E756" t="s">
        <v>27</v>
      </c>
      <c r="F756" t="s">
        <v>30</v>
      </c>
      <c r="G756" s="1">
        <v>43800</v>
      </c>
      <c r="H756" s="1" t="s">
        <v>29</v>
      </c>
      <c r="I756" s="1" t="s">
        <v>25</v>
      </c>
      <c r="J756" s="1" t="s">
        <v>32</v>
      </c>
      <c r="K756" s="4">
        <f t="shared" ca="1" si="55"/>
        <v>6.4</v>
      </c>
      <c r="L756" t="str">
        <f t="shared" si="56"/>
        <v>High</v>
      </c>
      <c r="M756" t="str">
        <f t="shared" si="57"/>
        <v>Medium</v>
      </c>
      <c r="N756" t="str">
        <f t="shared" si="58"/>
        <v>No PIP</v>
      </c>
      <c r="O756" t="str">
        <f t="shared" ca="1" si="59"/>
        <v>Not Eligible</v>
      </c>
    </row>
    <row r="757" spans="1:15" x14ac:dyDescent="0.25">
      <c r="A757" t="s">
        <v>38</v>
      </c>
      <c r="B757">
        <v>40</v>
      </c>
      <c r="C757">
        <v>60216</v>
      </c>
      <c r="D757" t="s">
        <v>14</v>
      </c>
      <c r="E757" t="s">
        <v>10</v>
      </c>
      <c r="F757" t="s">
        <v>28</v>
      </c>
      <c r="G757" s="1">
        <v>43800</v>
      </c>
      <c r="H757" s="1" t="s">
        <v>24</v>
      </c>
      <c r="I757" s="1" t="s">
        <v>13</v>
      </c>
      <c r="J757" s="1" t="s">
        <v>22</v>
      </c>
      <c r="K757" s="4">
        <f t="shared" ca="1" si="55"/>
        <v>6.4</v>
      </c>
      <c r="L757" t="str">
        <f t="shared" si="56"/>
        <v>Medium</v>
      </c>
      <c r="M757" t="str">
        <f t="shared" si="57"/>
        <v>High</v>
      </c>
      <c r="N757" t="str">
        <f t="shared" si="58"/>
        <v>No PIP</v>
      </c>
      <c r="O757" t="str">
        <f t="shared" ca="1" si="59"/>
        <v>Eligible</v>
      </c>
    </row>
    <row r="758" spans="1:15" x14ac:dyDescent="0.25">
      <c r="A758" t="s">
        <v>36</v>
      </c>
      <c r="B758">
        <v>50</v>
      </c>
      <c r="C758">
        <v>50000</v>
      </c>
      <c r="D758" t="s">
        <v>9</v>
      </c>
      <c r="E758" t="s">
        <v>10</v>
      </c>
      <c r="F758" t="s">
        <v>28</v>
      </c>
      <c r="G758" s="1">
        <v>43800</v>
      </c>
      <c r="H758" s="1" t="s">
        <v>17</v>
      </c>
      <c r="I758" s="1" t="s">
        <v>25</v>
      </c>
      <c r="J758" s="1" t="s">
        <v>44</v>
      </c>
      <c r="K758" s="4">
        <f t="shared" ca="1" si="55"/>
        <v>6.4</v>
      </c>
      <c r="L758" t="str">
        <f t="shared" si="56"/>
        <v>Low</v>
      </c>
      <c r="M758" t="str">
        <f t="shared" si="57"/>
        <v>Low</v>
      </c>
      <c r="N758" t="str">
        <f t="shared" si="58"/>
        <v>PIP</v>
      </c>
      <c r="O758" t="str">
        <f t="shared" ca="1" si="59"/>
        <v>Not Eligible</v>
      </c>
    </row>
    <row r="759" spans="1:15" x14ac:dyDescent="0.25">
      <c r="A759" t="s">
        <v>36</v>
      </c>
      <c r="B759">
        <v>25</v>
      </c>
      <c r="C759">
        <v>50000</v>
      </c>
      <c r="D759" t="s">
        <v>14</v>
      </c>
      <c r="E759" t="s">
        <v>15</v>
      </c>
      <c r="F759" t="s">
        <v>30</v>
      </c>
      <c r="G759" s="1">
        <v>43800</v>
      </c>
      <c r="H759" s="1" t="s">
        <v>12</v>
      </c>
      <c r="I759" s="1" t="s">
        <v>44</v>
      </c>
      <c r="J759" s="1" t="s">
        <v>22</v>
      </c>
      <c r="K759" s="4">
        <f t="shared" ca="1" si="55"/>
        <v>6.4</v>
      </c>
      <c r="L759" t="str">
        <f t="shared" si="56"/>
        <v>Low</v>
      </c>
      <c r="M759" t="str">
        <f t="shared" si="57"/>
        <v>Low</v>
      </c>
      <c r="N759" t="str">
        <f t="shared" si="58"/>
        <v>PIP</v>
      </c>
      <c r="O759" t="str">
        <f t="shared" ca="1" si="59"/>
        <v>Not Eligible</v>
      </c>
    </row>
    <row r="760" spans="1:15" x14ac:dyDescent="0.25">
      <c r="A760" t="s">
        <v>39</v>
      </c>
      <c r="B760">
        <v>30</v>
      </c>
      <c r="C760">
        <v>50000</v>
      </c>
      <c r="D760" t="s">
        <v>9</v>
      </c>
      <c r="E760" t="s">
        <v>10</v>
      </c>
      <c r="F760" t="s">
        <v>28</v>
      </c>
      <c r="G760" s="1">
        <v>43800</v>
      </c>
      <c r="H760" s="1" t="s">
        <v>12</v>
      </c>
      <c r="I760" s="1" t="s">
        <v>44</v>
      </c>
      <c r="J760" s="1" t="s">
        <v>32</v>
      </c>
      <c r="K760" s="4">
        <f t="shared" ca="1" si="55"/>
        <v>6.4</v>
      </c>
      <c r="L760" t="str">
        <f t="shared" si="56"/>
        <v>Low</v>
      </c>
      <c r="M760" t="str">
        <f t="shared" si="57"/>
        <v>Low</v>
      </c>
      <c r="N760" t="str">
        <f t="shared" si="58"/>
        <v>PIP</v>
      </c>
      <c r="O760" t="str">
        <f t="shared" ca="1" si="59"/>
        <v>Not Eligible</v>
      </c>
    </row>
    <row r="761" spans="1:15" x14ac:dyDescent="0.25">
      <c r="A761" t="s">
        <v>41</v>
      </c>
      <c r="B761">
        <v>50</v>
      </c>
      <c r="C761">
        <v>60000</v>
      </c>
      <c r="D761" t="s">
        <v>9</v>
      </c>
      <c r="E761" t="s">
        <v>20</v>
      </c>
      <c r="F761" t="s">
        <v>16</v>
      </c>
      <c r="G761" s="1">
        <v>43800</v>
      </c>
      <c r="H761" s="1" t="s">
        <v>29</v>
      </c>
      <c r="I761" s="1" t="s">
        <v>13</v>
      </c>
      <c r="J761" s="1" t="s">
        <v>19</v>
      </c>
      <c r="K761" s="4">
        <f t="shared" ca="1" si="55"/>
        <v>6.4</v>
      </c>
      <c r="L761" t="str">
        <f t="shared" si="56"/>
        <v>Medium</v>
      </c>
      <c r="M761" t="str">
        <f t="shared" si="57"/>
        <v>Medium</v>
      </c>
      <c r="N761" t="str">
        <f t="shared" si="58"/>
        <v>No PIP</v>
      </c>
      <c r="O761" t="str">
        <f t="shared" ca="1" si="59"/>
        <v>Not Eligible</v>
      </c>
    </row>
    <row r="762" spans="1:15" x14ac:dyDescent="0.25">
      <c r="A762" t="s">
        <v>36</v>
      </c>
      <c r="B762">
        <v>30</v>
      </c>
      <c r="C762">
        <v>60000</v>
      </c>
      <c r="D762" t="s">
        <v>26</v>
      </c>
      <c r="E762" t="s">
        <v>23</v>
      </c>
      <c r="F762" t="s">
        <v>30</v>
      </c>
      <c r="G762" s="1">
        <v>43800</v>
      </c>
      <c r="H762" s="1" t="s">
        <v>12</v>
      </c>
      <c r="I762" s="1" t="s">
        <v>44</v>
      </c>
      <c r="J762" s="1" t="s">
        <v>44</v>
      </c>
      <c r="K762" s="4">
        <f t="shared" ca="1" si="55"/>
        <v>6.4</v>
      </c>
      <c r="L762" t="str">
        <f t="shared" si="56"/>
        <v>Medium</v>
      </c>
      <c r="M762" t="str">
        <f t="shared" si="57"/>
        <v>Low</v>
      </c>
      <c r="N762" t="str">
        <f t="shared" si="58"/>
        <v>PIP</v>
      </c>
      <c r="O762" t="str">
        <f t="shared" ca="1" si="59"/>
        <v>Not Eligible</v>
      </c>
    </row>
    <row r="763" spans="1:15" x14ac:dyDescent="0.25">
      <c r="A763" t="s">
        <v>41</v>
      </c>
      <c r="B763">
        <v>30</v>
      </c>
      <c r="C763">
        <v>70000</v>
      </c>
      <c r="D763" t="s">
        <v>14</v>
      </c>
      <c r="E763" t="s">
        <v>23</v>
      </c>
      <c r="F763" t="s">
        <v>28</v>
      </c>
      <c r="G763" s="1">
        <v>43800</v>
      </c>
      <c r="H763" s="1" t="s">
        <v>24</v>
      </c>
      <c r="I763" s="1" t="s">
        <v>13</v>
      </c>
      <c r="J763" s="1" t="s">
        <v>32</v>
      </c>
      <c r="K763" s="4">
        <f t="shared" ca="1" si="55"/>
        <v>6.4</v>
      </c>
      <c r="L763" t="str">
        <f t="shared" si="56"/>
        <v>High</v>
      </c>
      <c r="M763" t="str">
        <f t="shared" si="57"/>
        <v>High</v>
      </c>
      <c r="N763" t="str">
        <f t="shared" si="58"/>
        <v>No PIP</v>
      </c>
      <c r="O763" t="str">
        <f t="shared" ca="1" si="59"/>
        <v>Eligible</v>
      </c>
    </row>
    <row r="764" spans="1:15" x14ac:dyDescent="0.25">
      <c r="A764" t="s">
        <v>39</v>
      </c>
      <c r="B764">
        <v>50</v>
      </c>
      <c r="C764">
        <v>55000</v>
      </c>
      <c r="D764" t="s">
        <v>9</v>
      </c>
      <c r="E764" t="s">
        <v>23</v>
      </c>
      <c r="F764" t="s">
        <v>30</v>
      </c>
      <c r="G764" s="1">
        <v>43800</v>
      </c>
      <c r="H764" s="1" t="s">
        <v>21</v>
      </c>
      <c r="I764" s="1" t="s">
        <v>13</v>
      </c>
      <c r="J764" s="1" t="s">
        <v>19</v>
      </c>
      <c r="K764" s="4">
        <f t="shared" ca="1" si="55"/>
        <v>6.4</v>
      </c>
      <c r="L764" t="str">
        <f t="shared" si="56"/>
        <v>Low</v>
      </c>
      <c r="M764" t="str">
        <f t="shared" si="57"/>
        <v>Medium</v>
      </c>
      <c r="N764" t="str">
        <f t="shared" si="58"/>
        <v>No PIP</v>
      </c>
      <c r="O764" t="str">
        <f t="shared" ca="1" si="59"/>
        <v>Not Eligible</v>
      </c>
    </row>
    <row r="765" spans="1:15" x14ac:dyDescent="0.25">
      <c r="A765" t="s">
        <v>35</v>
      </c>
      <c r="B765">
        <v>35</v>
      </c>
      <c r="C765">
        <v>70000</v>
      </c>
      <c r="D765" t="s">
        <v>26</v>
      </c>
      <c r="E765" t="s">
        <v>20</v>
      </c>
      <c r="F765" t="s">
        <v>30</v>
      </c>
      <c r="G765" s="1">
        <v>43800</v>
      </c>
      <c r="H765" s="1" t="s">
        <v>21</v>
      </c>
      <c r="I765" s="1" t="s">
        <v>18</v>
      </c>
      <c r="J765" s="1" t="s">
        <v>44</v>
      </c>
      <c r="K765" s="4">
        <f t="shared" ca="1" si="55"/>
        <v>6.4</v>
      </c>
      <c r="L765" t="str">
        <f t="shared" si="56"/>
        <v>High</v>
      </c>
      <c r="M765" t="str">
        <f t="shared" si="57"/>
        <v>Medium</v>
      </c>
      <c r="N765" t="str">
        <f t="shared" si="58"/>
        <v>No PIP</v>
      </c>
      <c r="O765" t="str">
        <f t="shared" ca="1" si="59"/>
        <v>Not Eligible</v>
      </c>
    </row>
    <row r="766" spans="1:15" x14ac:dyDescent="0.25">
      <c r="A766" t="s">
        <v>38</v>
      </c>
      <c r="B766">
        <v>50</v>
      </c>
      <c r="C766">
        <v>60216</v>
      </c>
      <c r="D766" t="s">
        <v>26</v>
      </c>
      <c r="E766" t="s">
        <v>15</v>
      </c>
      <c r="F766" t="s">
        <v>30</v>
      </c>
      <c r="G766" s="1">
        <v>43800</v>
      </c>
      <c r="H766" s="1" t="s">
        <v>24</v>
      </c>
      <c r="I766" s="1" t="s">
        <v>18</v>
      </c>
      <c r="J766" s="1" t="s">
        <v>44</v>
      </c>
      <c r="K766" s="4">
        <f t="shared" ca="1" si="55"/>
        <v>6.4</v>
      </c>
      <c r="L766" t="str">
        <f t="shared" si="56"/>
        <v>Medium</v>
      </c>
      <c r="M766" t="str">
        <f t="shared" si="57"/>
        <v>High</v>
      </c>
      <c r="N766" t="str">
        <f t="shared" si="58"/>
        <v>No PIP</v>
      </c>
      <c r="O766" t="str">
        <f t="shared" ca="1" si="59"/>
        <v>Eligible</v>
      </c>
    </row>
    <row r="767" spans="1:15" x14ac:dyDescent="0.25">
      <c r="A767" t="s">
        <v>38</v>
      </c>
      <c r="B767">
        <v>30</v>
      </c>
      <c r="C767">
        <v>60000</v>
      </c>
      <c r="D767" t="s">
        <v>9</v>
      </c>
      <c r="E767" t="s">
        <v>20</v>
      </c>
      <c r="F767" t="s">
        <v>16</v>
      </c>
      <c r="G767" s="1">
        <v>43800</v>
      </c>
      <c r="H767" s="1" t="s">
        <v>29</v>
      </c>
      <c r="I767" s="1" t="s">
        <v>44</v>
      </c>
      <c r="J767" s="1" t="s">
        <v>32</v>
      </c>
      <c r="K767" s="4">
        <f t="shared" ca="1" si="55"/>
        <v>6.4</v>
      </c>
      <c r="L767" t="str">
        <f t="shared" si="56"/>
        <v>Medium</v>
      </c>
      <c r="M767" t="str">
        <f t="shared" si="57"/>
        <v>Medium</v>
      </c>
      <c r="N767" t="str">
        <f t="shared" si="58"/>
        <v>No PIP</v>
      </c>
      <c r="O767" t="str">
        <f t="shared" ca="1" si="59"/>
        <v>Not Eligible</v>
      </c>
    </row>
    <row r="768" spans="1:15" x14ac:dyDescent="0.25">
      <c r="A768" t="s">
        <v>39</v>
      </c>
      <c r="B768">
        <v>35</v>
      </c>
      <c r="C768">
        <v>70000</v>
      </c>
      <c r="D768" t="s">
        <v>14</v>
      </c>
      <c r="E768" t="s">
        <v>10</v>
      </c>
      <c r="F768" t="s">
        <v>30</v>
      </c>
      <c r="G768" s="1">
        <v>43800</v>
      </c>
      <c r="H768" s="1" t="s">
        <v>21</v>
      </c>
      <c r="I768" s="1" t="s">
        <v>18</v>
      </c>
      <c r="J768" s="1" t="s">
        <v>44</v>
      </c>
      <c r="K768" s="4">
        <f t="shared" ca="1" si="55"/>
        <v>6.4</v>
      </c>
      <c r="L768" t="str">
        <f t="shared" si="56"/>
        <v>High</v>
      </c>
      <c r="M768" t="str">
        <f t="shared" si="57"/>
        <v>Medium</v>
      </c>
      <c r="N768" t="str">
        <f t="shared" si="58"/>
        <v>No PIP</v>
      </c>
      <c r="O768" t="str">
        <f t="shared" ca="1" si="59"/>
        <v>Not Eligible</v>
      </c>
    </row>
    <row r="769" spans="1:15" x14ac:dyDescent="0.25">
      <c r="A769" t="s">
        <v>41</v>
      </c>
      <c r="B769">
        <v>50</v>
      </c>
      <c r="C769">
        <v>70000</v>
      </c>
      <c r="D769" t="s">
        <v>26</v>
      </c>
      <c r="E769" t="s">
        <v>15</v>
      </c>
      <c r="F769" t="s">
        <v>31</v>
      </c>
      <c r="G769" s="1">
        <v>43800</v>
      </c>
      <c r="H769" s="1" t="s">
        <v>17</v>
      </c>
      <c r="I769" s="1" t="s">
        <v>13</v>
      </c>
      <c r="J769" s="1" t="s">
        <v>44</v>
      </c>
      <c r="K769" s="4">
        <f t="shared" ca="1" si="55"/>
        <v>6.4</v>
      </c>
      <c r="L769" t="str">
        <f t="shared" si="56"/>
        <v>High</v>
      </c>
      <c r="M769" t="str">
        <f t="shared" si="57"/>
        <v>Low</v>
      </c>
      <c r="N769" t="str">
        <f t="shared" si="58"/>
        <v>PIP</v>
      </c>
      <c r="O769" t="str">
        <f t="shared" ca="1" si="59"/>
        <v>Not Eligible</v>
      </c>
    </row>
    <row r="770" spans="1:15" x14ac:dyDescent="0.25">
      <c r="A770" t="s">
        <v>34</v>
      </c>
      <c r="B770">
        <v>40</v>
      </c>
      <c r="C770">
        <v>65000</v>
      </c>
      <c r="D770" t="s">
        <v>14</v>
      </c>
      <c r="E770" t="s">
        <v>15</v>
      </c>
      <c r="F770" t="s">
        <v>11</v>
      </c>
      <c r="G770" s="1">
        <v>43800</v>
      </c>
      <c r="H770" s="1" t="s">
        <v>29</v>
      </c>
      <c r="I770" s="1" t="s">
        <v>18</v>
      </c>
      <c r="J770" s="1" t="s">
        <v>32</v>
      </c>
      <c r="K770" s="4">
        <f t="shared" ca="1" si="55"/>
        <v>6.4</v>
      </c>
      <c r="L770" t="str">
        <f t="shared" si="56"/>
        <v>High</v>
      </c>
      <c r="M770" t="str">
        <f t="shared" si="57"/>
        <v>Medium</v>
      </c>
      <c r="N770" t="str">
        <f t="shared" si="58"/>
        <v>No PIP</v>
      </c>
      <c r="O770" t="str">
        <f t="shared" ca="1" si="59"/>
        <v>Not Eligible</v>
      </c>
    </row>
    <row r="771" spans="1:15" x14ac:dyDescent="0.25">
      <c r="A771" t="s">
        <v>42</v>
      </c>
      <c r="B771">
        <v>35</v>
      </c>
      <c r="C771">
        <v>65000</v>
      </c>
      <c r="D771" t="s">
        <v>26</v>
      </c>
      <c r="E771" t="s">
        <v>20</v>
      </c>
      <c r="F771" t="s">
        <v>16</v>
      </c>
      <c r="G771" s="1">
        <v>43800</v>
      </c>
      <c r="H771" s="1" t="s">
        <v>12</v>
      </c>
      <c r="I771" s="1" t="s">
        <v>25</v>
      </c>
      <c r="J771" s="1" t="s">
        <v>22</v>
      </c>
      <c r="K771" s="4">
        <f t="shared" ref="K771:K834" ca="1" si="60">ROUND((TODAY()-G771)/365,1)</f>
        <v>6.4</v>
      </c>
      <c r="L771" t="str">
        <f t="shared" ref="L771:L834" si="61">IF(C771&lt;60000,"Low", IF(C771&lt;65000,"Medium","High"))</f>
        <v>High</v>
      </c>
      <c r="M771" t="str">
        <f t="shared" ref="M771:M834" si="62">IF(H771="A","High",IF(OR(H771="B",H771="C"),"Medium","Low"))</f>
        <v>Low</v>
      </c>
      <c r="N771" t="str">
        <f t="shared" ref="N771:N834" si="63">IF(M771="Low","PIP","No PIP")</f>
        <v>PIP</v>
      </c>
      <c r="O771" t="str">
        <f t="shared" ref="O771:O834" ca="1" si="64">IF(AND(M771="High",K771&gt;3),"Eligible","Not Eligible")</f>
        <v>Not Eligible</v>
      </c>
    </row>
    <row r="772" spans="1:15" x14ac:dyDescent="0.25">
      <c r="A772" t="s">
        <v>34</v>
      </c>
      <c r="B772">
        <v>50</v>
      </c>
      <c r="C772">
        <v>55000</v>
      </c>
      <c r="D772" t="s">
        <v>9</v>
      </c>
      <c r="E772" t="s">
        <v>23</v>
      </c>
      <c r="F772" t="s">
        <v>11</v>
      </c>
      <c r="G772" s="1">
        <v>43800</v>
      </c>
      <c r="H772" s="1" t="s">
        <v>12</v>
      </c>
      <c r="I772" s="1" t="s">
        <v>44</v>
      </c>
      <c r="J772" s="1" t="s">
        <v>32</v>
      </c>
      <c r="K772" s="4">
        <f t="shared" ca="1" si="60"/>
        <v>6.4</v>
      </c>
      <c r="L772" t="str">
        <f t="shared" si="61"/>
        <v>Low</v>
      </c>
      <c r="M772" t="str">
        <f t="shared" si="62"/>
        <v>Low</v>
      </c>
      <c r="N772" t="str">
        <f t="shared" si="63"/>
        <v>PIP</v>
      </c>
      <c r="O772" t="str">
        <f t="shared" ca="1" si="64"/>
        <v>Not Eligible</v>
      </c>
    </row>
    <row r="773" spans="1:15" x14ac:dyDescent="0.25">
      <c r="A773" t="s">
        <v>39</v>
      </c>
      <c r="B773">
        <v>30</v>
      </c>
      <c r="C773">
        <v>60000</v>
      </c>
      <c r="D773" t="s">
        <v>14</v>
      </c>
      <c r="E773" t="s">
        <v>10</v>
      </c>
      <c r="F773" t="s">
        <v>30</v>
      </c>
      <c r="G773" s="1">
        <v>43800</v>
      </c>
      <c r="H773" s="1" t="s">
        <v>29</v>
      </c>
      <c r="I773" s="1" t="s">
        <v>44</v>
      </c>
      <c r="J773" s="1" t="s">
        <v>44</v>
      </c>
      <c r="K773" s="4">
        <f t="shared" ca="1" si="60"/>
        <v>6.4</v>
      </c>
      <c r="L773" t="str">
        <f t="shared" si="61"/>
        <v>Medium</v>
      </c>
      <c r="M773" t="str">
        <f t="shared" si="62"/>
        <v>Medium</v>
      </c>
      <c r="N773" t="str">
        <f t="shared" si="63"/>
        <v>No PIP</v>
      </c>
      <c r="O773" t="str">
        <f t="shared" ca="1" si="64"/>
        <v>Not Eligible</v>
      </c>
    </row>
    <row r="774" spans="1:15" x14ac:dyDescent="0.25">
      <c r="A774" t="s">
        <v>42</v>
      </c>
      <c r="B774">
        <v>35</v>
      </c>
      <c r="C774">
        <v>60216</v>
      </c>
      <c r="D774" t="s">
        <v>14</v>
      </c>
      <c r="E774" t="s">
        <v>20</v>
      </c>
      <c r="F774" t="s">
        <v>16</v>
      </c>
      <c r="G774" s="1">
        <v>43800</v>
      </c>
      <c r="H774" s="1" t="s">
        <v>12</v>
      </c>
      <c r="I774" s="1" t="s">
        <v>18</v>
      </c>
      <c r="J774" s="1" t="s">
        <v>44</v>
      </c>
      <c r="K774" s="4">
        <f t="shared" ca="1" si="60"/>
        <v>6.4</v>
      </c>
      <c r="L774" t="str">
        <f t="shared" si="61"/>
        <v>Medium</v>
      </c>
      <c r="M774" t="str">
        <f t="shared" si="62"/>
        <v>Low</v>
      </c>
      <c r="N774" t="str">
        <f t="shared" si="63"/>
        <v>PIP</v>
      </c>
      <c r="O774" t="str">
        <f t="shared" ca="1" si="64"/>
        <v>Not Eligible</v>
      </c>
    </row>
    <row r="775" spans="1:15" x14ac:dyDescent="0.25">
      <c r="A775" t="s">
        <v>41</v>
      </c>
      <c r="B775">
        <v>50</v>
      </c>
      <c r="C775">
        <v>65000</v>
      </c>
      <c r="D775" t="s">
        <v>9</v>
      </c>
      <c r="E775" t="s">
        <v>23</v>
      </c>
      <c r="F775" t="s">
        <v>11</v>
      </c>
      <c r="G775" s="1">
        <v>43800</v>
      </c>
      <c r="H775" s="1" t="s">
        <v>24</v>
      </c>
      <c r="I775" s="1" t="s">
        <v>25</v>
      </c>
      <c r="J775" s="1" t="s">
        <v>44</v>
      </c>
      <c r="K775" s="4">
        <f t="shared" ca="1" si="60"/>
        <v>6.4</v>
      </c>
      <c r="L775" t="str">
        <f t="shared" si="61"/>
        <v>High</v>
      </c>
      <c r="M775" t="str">
        <f t="shared" si="62"/>
        <v>High</v>
      </c>
      <c r="N775" t="str">
        <f t="shared" si="63"/>
        <v>No PIP</v>
      </c>
      <c r="O775" t="str">
        <f t="shared" ca="1" si="64"/>
        <v>Eligible</v>
      </c>
    </row>
    <row r="776" spans="1:15" x14ac:dyDescent="0.25">
      <c r="A776" t="s">
        <v>36</v>
      </c>
      <c r="B776">
        <v>40</v>
      </c>
      <c r="C776">
        <v>55000</v>
      </c>
      <c r="D776" t="s">
        <v>26</v>
      </c>
      <c r="E776" t="s">
        <v>23</v>
      </c>
      <c r="F776" t="s">
        <v>31</v>
      </c>
      <c r="G776" s="1">
        <v>43800</v>
      </c>
      <c r="H776" s="1" t="s">
        <v>21</v>
      </c>
      <c r="I776" s="1" t="s">
        <v>13</v>
      </c>
      <c r="J776" s="1" t="s">
        <v>19</v>
      </c>
      <c r="K776" s="4">
        <f t="shared" ca="1" si="60"/>
        <v>6.4</v>
      </c>
      <c r="L776" t="str">
        <f t="shared" si="61"/>
        <v>Low</v>
      </c>
      <c r="M776" t="str">
        <f t="shared" si="62"/>
        <v>Medium</v>
      </c>
      <c r="N776" t="str">
        <f t="shared" si="63"/>
        <v>No PIP</v>
      </c>
      <c r="O776" t="str">
        <f t="shared" ca="1" si="64"/>
        <v>Not Eligible</v>
      </c>
    </row>
    <row r="777" spans="1:15" x14ac:dyDescent="0.25">
      <c r="A777" t="s">
        <v>39</v>
      </c>
      <c r="B777">
        <v>35</v>
      </c>
      <c r="C777">
        <v>50000</v>
      </c>
      <c r="D777" t="s">
        <v>9</v>
      </c>
      <c r="E777" t="s">
        <v>15</v>
      </c>
      <c r="F777" t="s">
        <v>11</v>
      </c>
      <c r="G777" s="1">
        <v>43800</v>
      </c>
      <c r="H777" s="1" t="s">
        <v>12</v>
      </c>
      <c r="I777" s="1" t="s">
        <v>18</v>
      </c>
      <c r="J777" s="1" t="s">
        <v>44</v>
      </c>
      <c r="K777" s="4">
        <f t="shared" ca="1" si="60"/>
        <v>6.4</v>
      </c>
      <c r="L777" t="str">
        <f t="shared" si="61"/>
        <v>Low</v>
      </c>
      <c r="M777" t="str">
        <f t="shared" si="62"/>
        <v>Low</v>
      </c>
      <c r="N777" t="str">
        <f t="shared" si="63"/>
        <v>PIP</v>
      </c>
      <c r="O777" t="str">
        <f t="shared" ca="1" si="64"/>
        <v>Not Eligible</v>
      </c>
    </row>
    <row r="778" spans="1:15" x14ac:dyDescent="0.25">
      <c r="A778" t="s">
        <v>35</v>
      </c>
      <c r="B778">
        <v>30</v>
      </c>
      <c r="C778">
        <v>65000</v>
      </c>
      <c r="D778" t="s">
        <v>14</v>
      </c>
      <c r="E778" t="s">
        <v>23</v>
      </c>
      <c r="F778" t="s">
        <v>11</v>
      </c>
      <c r="G778" s="1">
        <v>43800</v>
      </c>
      <c r="H778" s="1" t="s">
        <v>29</v>
      </c>
      <c r="I778" s="1" t="s">
        <v>13</v>
      </c>
      <c r="J778" s="1" t="s">
        <v>32</v>
      </c>
      <c r="K778" s="4">
        <f t="shared" ca="1" si="60"/>
        <v>6.4</v>
      </c>
      <c r="L778" t="str">
        <f t="shared" si="61"/>
        <v>High</v>
      </c>
      <c r="M778" t="str">
        <f t="shared" si="62"/>
        <v>Medium</v>
      </c>
      <c r="N778" t="str">
        <f t="shared" si="63"/>
        <v>No PIP</v>
      </c>
      <c r="O778" t="str">
        <f t="shared" ca="1" si="64"/>
        <v>Not Eligible</v>
      </c>
    </row>
    <row r="779" spans="1:15" x14ac:dyDescent="0.25">
      <c r="A779" t="s">
        <v>40</v>
      </c>
      <c r="B779">
        <v>50</v>
      </c>
      <c r="C779">
        <v>60216</v>
      </c>
      <c r="D779" t="s">
        <v>14</v>
      </c>
      <c r="E779" t="s">
        <v>20</v>
      </c>
      <c r="F779" t="s">
        <v>28</v>
      </c>
      <c r="G779" s="1">
        <v>43800</v>
      </c>
      <c r="H779" s="1" t="s">
        <v>24</v>
      </c>
      <c r="I779" s="1" t="s">
        <v>25</v>
      </c>
      <c r="J779" s="1" t="s">
        <v>32</v>
      </c>
      <c r="K779" s="4">
        <f t="shared" ca="1" si="60"/>
        <v>6.4</v>
      </c>
      <c r="L779" t="str">
        <f t="shared" si="61"/>
        <v>Medium</v>
      </c>
      <c r="M779" t="str">
        <f t="shared" si="62"/>
        <v>High</v>
      </c>
      <c r="N779" t="str">
        <f t="shared" si="63"/>
        <v>No PIP</v>
      </c>
      <c r="O779" t="str">
        <f t="shared" ca="1" si="64"/>
        <v>Eligible</v>
      </c>
    </row>
    <row r="780" spans="1:15" x14ac:dyDescent="0.25">
      <c r="A780" t="s">
        <v>37</v>
      </c>
      <c r="B780">
        <v>40</v>
      </c>
      <c r="C780">
        <v>55000</v>
      </c>
      <c r="D780" t="s">
        <v>14</v>
      </c>
      <c r="E780" t="s">
        <v>10</v>
      </c>
      <c r="F780" t="s">
        <v>28</v>
      </c>
      <c r="G780" s="1">
        <v>43800</v>
      </c>
      <c r="H780" s="1" t="s">
        <v>21</v>
      </c>
      <c r="I780" s="1" t="s">
        <v>44</v>
      </c>
      <c r="J780" s="1" t="s">
        <v>32</v>
      </c>
      <c r="K780" s="4">
        <f t="shared" ca="1" si="60"/>
        <v>6.4</v>
      </c>
      <c r="L780" t="str">
        <f t="shared" si="61"/>
        <v>Low</v>
      </c>
      <c r="M780" t="str">
        <f t="shared" si="62"/>
        <v>Medium</v>
      </c>
      <c r="N780" t="str">
        <f t="shared" si="63"/>
        <v>No PIP</v>
      </c>
      <c r="O780" t="str">
        <f t="shared" ca="1" si="64"/>
        <v>Not Eligible</v>
      </c>
    </row>
    <row r="781" spans="1:15" x14ac:dyDescent="0.25">
      <c r="A781" t="s">
        <v>34</v>
      </c>
      <c r="B781">
        <v>35</v>
      </c>
      <c r="C781">
        <v>60216</v>
      </c>
      <c r="D781" t="s">
        <v>14</v>
      </c>
      <c r="E781" t="s">
        <v>15</v>
      </c>
      <c r="F781" t="s">
        <v>31</v>
      </c>
      <c r="G781" s="1">
        <v>43800</v>
      </c>
      <c r="H781" s="1" t="s">
        <v>21</v>
      </c>
      <c r="I781" s="1" t="s">
        <v>25</v>
      </c>
      <c r="J781" s="1" t="s">
        <v>19</v>
      </c>
      <c r="K781" s="4">
        <f t="shared" ca="1" si="60"/>
        <v>6.4</v>
      </c>
      <c r="L781" t="str">
        <f t="shared" si="61"/>
        <v>Medium</v>
      </c>
      <c r="M781" t="str">
        <f t="shared" si="62"/>
        <v>Medium</v>
      </c>
      <c r="N781" t="str">
        <f t="shared" si="63"/>
        <v>No PIP</v>
      </c>
      <c r="O781" t="str">
        <f t="shared" ca="1" si="64"/>
        <v>Not Eligible</v>
      </c>
    </row>
    <row r="782" spans="1:15" x14ac:dyDescent="0.25">
      <c r="A782" t="s">
        <v>34</v>
      </c>
      <c r="B782">
        <v>35</v>
      </c>
      <c r="C782">
        <v>70000</v>
      </c>
      <c r="D782" t="s">
        <v>26</v>
      </c>
      <c r="E782" t="s">
        <v>27</v>
      </c>
      <c r="F782" t="s">
        <v>30</v>
      </c>
      <c r="G782" s="1">
        <v>43800</v>
      </c>
      <c r="H782" s="1" t="s">
        <v>29</v>
      </c>
      <c r="I782" s="1" t="s">
        <v>44</v>
      </c>
      <c r="J782" s="1" t="s">
        <v>44</v>
      </c>
      <c r="K782" s="4">
        <f t="shared" ca="1" si="60"/>
        <v>6.4</v>
      </c>
      <c r="L782" t="str">
        <f t="shared" si="61"/>
        <v>High</v>
      </c>
      <c r="M782" t="str">
        <f t="shared" si="62"/>
        <v>Medium</v>
      </c>
      <c r="N782" t="str">
        <f t="shared" si="63"/>
        <v>No PIP</v>
      </c>
      <c r="O782" t="str">
        <f t="shared" ca="1" si="64"/>
        <v>Not Eligible</v>
      </c>
    </row>
    <row r="783" spans="1:15" x14ac:dyDescent="0.25">
      <c r="A783" t="s">
        <v>41</v>
      </c>
      <c r="B783">
        <v>40</v>
      </c>
      <c r="C783">
        <v>60000</v>
      </c>
      <c r="D783" t="s">
        <v>26</v>
      </c>
      <c r="E783" t="s">
        <v>15</v>
      </c>
      <c r="F783" t="s">
        <v>30</v>
      </c>
      <c r="G783" s="1">
        <v>43800</v>
      </c>
      <c r="H783" s="1" t="s">
        <v>29</v>
      </c>
      <c r="I783" s="1" t="s">
        <v>44</v>
      </c>
      <c r="J783" s="1" t="s">
        <v>32</v>
      </c>
      <c r="K783" s="4">
        <f t="shared" ca="1" si="60"/>
        <v>6.4</v>
      </c>
      <c r="L783" t="str">
        <f t="shared" si="61"/>
        <v>Medium</v>
      </c>
      <c r="M783" t="str">
        <f t="shared" si="62"/>
        <v>Medium</v>
      </c>
      <c r="N783" t="str">
        <f t="shared" si="63"/>
        <v>No PIP</v>
      </c>
      <c r="O783" t="str">
        <f t="shared" ca="1" si="64"/>
        <v>Not Eligible</v>
      </c>
    </row>
    <row r="784" spans="1:15" x14ac:dyDescent="0.25">
      <c r="A784" t="s">
        <v>33</v>
      </c>
      <c r="B784">
        <v>50</v>
      </c>
      <c r="C784">
        <v>50000</v>
      </c>
      <c r="D784" t="s">
        <v>14</v>
      </c>
      <c r="E784" t="s">
        <v>23</v>
      </c>
      <c r="F784" t="s">
        <v>31</v>
      </c>
      <c r="G784" s="1">
        <v>43800</v>
      </c>
      <c r="H784" s="1" t="s">
        <v>29</v>
      </c>
      <c r="I784" s="1" t="s">
        <v>25</v>
      </c>
      <c r="J784" s="1" t="s">
        <v>32</v>
      </c>
      <c r="K784" s="4">
        <f t="shared" ca="1" si="60"/>
        <v>6.4</v>
      </c>
      <c r="L784" t="str">
        <f t="shared" si="61"/>
        <v>Low</v>
      </c>
      <c r="M784" t="str">
        <f t="shared" si="62"/>
        <v>Medium</v>
      </c>
      <c r="N784" t="str">
        <f t="shared" si="63"/>
        <v>No PIP</v>
      </c>
      <c r="O784" t="str">
        <f t="shared" ca="1" si="64"/>
        <v>Not Eligible</v>
      </c>
    </row>
    <row r="785" spans="1:15" x14ac:dyDescent="0.25">
      <c r="A785" t="s">
        <v>36</v>
      </c>
      <c r="B785">
        <v>25</v>
      </c>
      <c r="C785">
        <v>60216</v>
      </c>
      <c r="D785" t="s">
        <v>9</v>
      </c>
      <c r="E785" t="s">
        <v>27</v>
      </c>
      <c r="F785" t="s">
        <v>31</v>
      </c>
      <c r="G785" s="1">
        <v>43800</v>
      </c>
      <c r="H785" s="1" t="s">
        <v>21</v>
      </c>
      <c r="I785" s="1" t="s">
        <v>44</v>
      </c>
      <c r="J785" s="1" t="s">
        <v>32</v>
      </c>
      <c r="K785" s="4">
        <f t="shared" ca="1" si="60"/>
        <v>6.4</v>
      </c>
      <c r="L785" t="str">
        <f t="shared" si="61"/>
        <v>Medium</v>
      </c>
      <c r="M785" t="str">
        <f t="shared" si="62"/>
        <v>Medium</v>
      </c>
      <c r="N785" t="str">
        <f t="shared" si="63"/>
        <v>No PIP</v>
      </c>
      <c r="O785" t="str">
        <f t="shared" ca="1" si="64"/>
        <v>Not Eligible</v>
      </c>
    </row>
    <row r="786" spans="1:15" x14ac:dyDescent="0.25">
      <c r="A786" t="s">
        <v>35</v>
      </c>
      <c r="B786">
        <v>35</v>
      </c>
      <c r="C786">
        <v>70000</v>
      </c>
      <c r="D786" t="s">
        <v>26</v>
      </c>
      <c r="E786" t="s">
        <v>15</v>
      </c>
      <c r="F786" t="s">
        <v>16</v>
      </c>
      <c r="G786" s="1">
        <v>43800</v>
      </c>
      <c r="H786" s="1" t="s">
        <v>17</v>
      </c>
      <c r="I786" s="1" t="s">
        <v>44</v>
      </c>
      <c r="J786" s="1" t="s">
        <v>44</v>
      </c>
      <c r="K786" s="4">
        <f t="shared" ca="1" si="60"/>
        <v>6.4</v>
      </c>
      <c r="L786" t="str">
        <f t="shared" si="61"/>
        <v>High</v>
      </c>
      <c r="M786" t="str">
        <f t="shared" si="62"/>
        <v>Low</v>
      </c>
      <c r="N786" t="str">
        <f t="shared" si="63"/>
        <v>PIP</v>
      </c>
      <c r="O786" t="str">
        <f t="shared" ca="1" si="64"/>
        <v>Not Eligible</v>
      </c>
    </row>
    <row r="787" spans="1:15" x14ac:dyDescent="0.25">
      <c r="A787" t="s">
        <v>33</v>
      </c>
      <c r="B787">
        <v>40</v>
      </c>
      <c r="C787">
        <v>65000</v>
      </c>
      <c r="D787" t="s">
        <v>14</v>
      </c>
      <c r="E787" t="s">
        <v>20</v>
      </c>
      <c r="F787" t="s">
        <v>16</v>
      </c>
      <c r="G787" s="1">
        <v>43800</v>
      </c>
      <c r="H787" s="1" t="s">
        <v>29</v>
      </c>
      <c r="I787" s="1" t="s">
        <v>13</v>
      </c>
      <c r="J787" s="1" t="s">
        <v>22</v>
      </c>
      <c r="K787" s="4">
        <f t="shared" ca="1" si="60"/>
        <v>6.4</v>
      </c>
      <c r="L787" t="str">
        <f t="shared" si="61"/>
        <v>High</v>
      </c>
      <c r="M787" t="str">
        <f t="shared" si="62"/>
        <v>Medium</v>
      </c>
      <c r="N787" t="str">
        <f t="shared" si="63"/>
        <v>No PIP</v>
      </c>
      <c r="O787" t="str">
        <f t="shared" ca="1" si="64"/>
        <v>Not Eligible</v>
      </c>
    </row>
    <row r="788" spans="1:15" x14ac:dyDescent="0.25">
      <c r="A788" t="s">
        <v>41</v>
      </c>
      <c r="B788">
        <v>35</v>
      </c>
      <c r="C788">
        <v>60000</v>
      </c>
      <c r="D788" t="s">
        <v>9</v>
      </c>
      <c r="E788" t="s">
        <v>10</v>
      </c>
      <c r="F788" t="s">
        <v>31</v>
      </c>
      <c r="G788" s="1">
        <v>43800</v>
      </c>
      <c r="H788" s="1" t="s">
        <v>21</v>
      </c>
      <c r="I788" s="1" t="s">
        <v>18</v>
      </c>
      <c r="J788" s="1" t="s">
        <v>19</v>
      </c>
      <c r="K788" s="4">
        <f t="shared" ca="1" si="60"/>
        <v>6.4</v>
      </c>
      <c r="L788" t="str">
        <f t="shared" si="61"/>
        <v>Medium</v>
      </c>
      <c r="M788" t="str">
        <f t="shared" si="62"/>
        <v>Medium</v>
      </c>
      <c r="N788" t="str">
        <f t="shared" si="63"/>
        <v>No PIP</v>
      </c>
      <c r="O788" t="str">
        <f t="shared" ca="1" si="64"/>
        <v>Not Eligible</v>
      </c>
    </row>
    <row r="789" spans="1:15" x14ac:dyDescent="0.25">
      <c r="A789" t="s">
        <v>35</v>
      </c>
      <c r="B789">
        <v>50</v>
      </c>
      <c r="C789">
        <v>70000</v>
      </c>
      <c r="D789" t="s">
        <v>26</v>
      </c>
      <c r="E789" t="s">
        <v>20</v>
      </c>
      <c r="F789" t="s">
        <v>16</v>
      </c>
      <c r="G789" s="1">
        <v>43800</v>
      </c>
      <c r="H789" s="1" t="s">
        <v>29</v>
      </c>
      <c r="I789" s="1" t="s">
        <v>44</v>
      </c>
      <c r="J789" s="1" t="s">
        <v>22</v>
      </c>
      <c r="K789" s="4">
        <f t="shared" ca="1" si="60"/>
        <v>6.4</v>
      </c>
      <c r="L789" t="str">
        <f t="shared" si="61"/>
        <v>High</v>
      </c>
      <c r="M789" t="str">
        <f t="shared" si="62"/>
        <v>Medium</v>
      </c>
      <c r="N789" t="str">
        <f t="shared" si="63"/>
        <v>No PIP</v>
      </c>
      <c r="O789" t="str">
        <f t="shared" ca="1" si="64"/>
        <v>Not Eligible</v>
      </c>
    </row>
    <row r="790" spans="1:15" x14ac:dyDescent="0.25">
      <c r="A790" t="s">
        <v>42</v>
      </c>
      <c r="B790">
        <v>25</v>
      </c>
      <c r="C790">
        <v>70000</v>
      </c>
      <c r="D790" t="s">
        <v>26</v>
      </c>
      <c r="E790" t="s">
        <v>23</v>
      </c>
      <c r="F790" t="s">
        <v>31</v>
      </c>
      <c r="G790" s="1">
        <v>43800</v>
      </c>
      <c r="H790" s="1" t="s">
        <v>21</v>
      </c>
      <c r="I790" s="1" t="s">
        <v>13</v>
      </c>
      <c r="J790" s="1" t="s">
        <v>22</v>
      </c>
      <c r="K790" s="4">
        <f t="shared" ca="1" si="60"/>
        <v>6.4</v>
      </c>
      <c r="L790" t="str">
        <f t="shared" si="61"/>
        <v>High</v>
      </c>
      <c r="M790" t="str">
        <f t="shared" si="62"/>
        <v>Medium</v>
      </c>
      <c r="N790" t="str">
        <f t="shared" si="63"/>
        <v>No PIP</v>
      </c>
      <c r="O790" t="str">
        <f t="shared" ca="1" si="64"/>
        <v>Not Eligible</v>
      </c>
    </row>
    <row r="791" spans="1:15" x14ac:dyDescent="0.25">
      <c r="A791" t="s">
        <v>36</v>
      </c>
      <c r="B791">
        <v>35</v>
      </c>
      <c r="C791">
        <v>50000</v>
      </c>
      <c r="D791" t="s">
        <v>9</v>
      </c>
      <c r="E791" t="s">
        <v>20</v>
      </c>
      <c r="F791" t="s">
        <v>30</v>
      </c>
      <c r="G791" s="1">
        <v>43800</v>
      </c>
      <c r="H791" s="1" t="s">
        <v>21</v>
      </c>
      <c r="I791" s="1" t="s">
        <v>44</v>
      </c>
      <c r="J791" s="1" t="s">
        <v>44</v>
      </c>
      <c r="K791" s="4">
        <f t="shared" ca="1" si="60"/>
        <v>6.4</v>
      </c>
      <c r="L791" t="str">
        <f t="shared" si="61"/>
        <v>Low</v>
      </c>
      <c r="M791" t="str">
        <f t="shared" si="62"/>
        <v>Medium</v>
      </c>
      <c r="N791" t="str">
        <f t="shared" si="63"/>
        <v>No PIP</v>
      </c>
      <c r="O791" t="str">
        <f t="shared" ca="1" si="64"/>
        <v>Not Eligible</v>
      </c>
    </row>
    <row r="792" spans="1:15" x14ac:dyDescent="0.25">
      <c r="A792" t="s">
        <v>42</v>
      </c>
      <c r="B792">
        <v>35</v>
      </c>
      <c r="C792">
        <v>60216</v>
      </c>
      <c r="D792" t="s">
        <v>14</v>
      </c>
      <c r="E792" t="s">
        <v>10</v>
      </c>
      <c r="F792" t="s">
        <v>16</v>
      </c>
      <c r="G792" s="1">
        <v>43800</v>
      </c>
      <c r="H792" s="1" t="s">
        <v>21</v>
      </c>
      <c r="I792" s="1" t="s">
        <v>25</v>
      </c>
      <c r="J792" s="1" t="s">
        <v>44</v>
      </c>
      <c r="K792" s="4">
        <f t="shared" ca="1" si="60"/>
        <v>6.4</v>
      </c>
      <c r="L792" t="str">
        <f t="shared" si="61"/>
        <v>Medium</v>
      </c>
      <c r="M792" t="str">
        <f t="shared" si="62"/>
        <v>Medium</v>
      </c>
      <c r="N792" t="str">
        <f t="shared" si="63"/>
        <v>No PIP</v>
      </c>
      <c r="O792" t="str">
        <f t="shared" ca="1" si="64"/>
        <v>Not Eligible</v>
      </c>
    </row>
    <row r="793" spans="1:15" x14ac:dyDescent="0.25">
      <c r="A793" t="s">
        <v>37</v>
      </c>
      <c r="B793">
        <v>35</v>
      </c>
      <c r="C793">
        <v>65000</v>
      </c>
      <c r="D793" t="s">
        <v>14</v>
      </c>
      <c r="E793" t="s">
        <v>23</v>
      </c>
      <c r="F793" t="s">
        <v>31</v>
      </c>
      <c r="G793" s="1">
        <v>43800</v>
      </c>
      <c r="H793" s="1" t="s">
        <v>21</v>
      </c>
      <c r="I793" s="1" t="s">
        <v>13</v>
      </c>
      <c r="J793" s="1" t="s">
        <v>22</v>
      </c>
      <c r="K793" s="4">
        <f t="shared" ca="1" si="60"/>
        <v>6.4</v>
      </c>
      <c r="L793" t="str">
        <f t="shared" si="61"/>
        <v>High</v>
      </c>
      <c r="M793" t="str">
        <f t="shared" si="62"/>
        <v>Medium</v>
      </c>
      <c r="N793" t="str">
        <f t="shared" si="63"/>
        <v>No PIP</v>
      </c>
      <c r="O793" t="str">
        <f t="shared" ca="1" si="64"/>
        <v>Not Eligible</v>
      </c>
    </row>
    <row r="794" spans="1:15" x14ac:dyDescent="0.25">
      <c r="A794" t="s">
        <v>42</v>
      </c>
      <c r="B794">
        <v>25</v>
      </c>
      <c r="C794">
        <v>60216</v>
      </c>
      <c r="D794" t="s">
        <v>9</v>
      </c>
      <c r="E794" t="s">
        <v>20</v>
      </c>
      <c r="F794" t="s">
        <v>11</v>
      </c>
      <c r="G794" s="1">
        <v>43800</v>
      </c>
      <c r="H794" s="1" t="s">
        <v>24</v>
      </c>
      <c r="I794" s="1" t="s">
        <v>18</v>
      </c>
      <c r="J794" s="1" t="s">
        <v>22</v>
      </c>
      <c r="K794" s="4">
        <f t="shared" ca="1" si="60"/>
        <v>6.4</v>
      </c>
      <c r="L794" t="str">
        <f t="shared" si="61"/>
        <v>Medium</v>
      </c>
      <c r="M794" t="str">
        <f t="shared" si="62"/>
        <v>High</v>
      </c>
      <c r="N794" t="str">
        <f t="shared" si="63"/>
        <v>No PIP</v>
      </c>
      <c r="O794" t="str">
        <f t="shared" ca="1" si="64"/>
        <v>Eligible</v>
      </c>
    </row>
    <row r="795" spans="1:15" x14ac:dyDescent="0.25">
      <c r="A795" t="s">
        <v>33</v>
      </c>
      <c r="B795">
        <v>35</v>
      </c>
      <c r="C795">
        <v>60000</v>
      </c>
      <c r="D795" t="s">
        <v>26</v>
      </c>
      <c r="E795" t="s">
        <v>23</v>
      </c>
      <c r="F795" t="s">
        <v>28</v>
      </c>
      <c r="G795" s="1">
        <v>43800</v>
      </c>
      <c r="H795" s="1" t="s">
        <v>21</v>
      </c>
      <c r="I795" s="1" t="s">
        <v>44</v>
      </c>
      <c r="J795" s="1" t="s">
        <v>19</v>
      </c>
      <c r="K795" s="4">
        <f t="shared" ca="1" si="60"/>
        <v>6.4</v>
      </c>
      <c r="L795" t="str">
        <f t="shared" si="61"/>
        <v>Medium</v>
      </c>
      <c r="M795" t="str">
        <f t="shared" si="62"/>
        <v>Medium</v>
      </c>
      <c r="N795" t="str">
        <f t="shared" si="63"/>
        <v>No PIP</v>
      </c>
      <c r="O795" t="str">
        <f t="shared" ca="1" si="64"/>
        <v>Not Eligible</v>
      </c>
    </row>
    <row r="796" spans="1:15" x14ac:dyDescent="0.25">
      <c r="A796" t="s">
        <v>38</v>
      </c>
      <c r="B796">
        <v>25</v>
      </c>
      <c r="C796">
        <v>50000</v>
      </c>
      <c r="D796" t="s">
        <v>14</v>
      </c>
      <c r="E796" t="s">
        <v>23</v>
      </c>
      <c r="F796" t="s">
        <v>28</v>
      </c>
      <c r="G796" s="1">
        <v>43800</v>
      </c>
      <c r="H796" s="1" t="s">
        <v>17</v>
      </c>
      <c r="I796" s="1" t="s">
        <v>44</v>
      </c>
      <c r="J796" s="1" t="s">
        <v>19</v>
      </c>
      <c r="K796" s="4">
        <f t="shared" ca="1" si="60"/>
        <v>6.4</v>
      </c>
      <c r="L796" t="str">
        <f t="shared" si="61"/>
        <v>Low</v>
      </c>
      <c r="M796" t="str">
        <f t="shared" si="62"/>
        <v>Low</v>
      </c>
      <c r="N796" t="str">
        <f t="shared" si="63"/>
        <v>PIP</v>
      </c>
      <c r="O796" t="str">
        <f t="shared" ca="1" si="64"/>
        <v>Not Eligible</v>
      </c>
    </row>
    <row r="797" spans="1:15" x14ac:dyDescent="0.25">
      <c r="A797" t="s">
        <v>41</v>
      </c>
      <c r="B797">
        <v>35</v>
      </c>
      <c r="C797">
        <v>65000</v>
      </c>
      <c r="D797" t="s">
        <v>14</v>
      </c>
      <c r="E797" t="s">
        <v>27</v>
      </c>
      <c r="F797" t="s">
        <v>31</v>
      </c>
      <c r="G797" s="1">
        <v>43800</v>
      </c>
      <c r="H797" s="1" t="s">
        <v>17</v>
      </c>
      <c r="I797" s="1" t="s">
        <v>18</v>
      </c>
      <c r="J797" s="1" t="s">
        <v>22</v>
      </c>
      <c r="K797" s="4">
        <f t="shared" ca="1" si="60"/>
        <v>6.4</v>
      </c>
      <c r="L797" t="str">
        <f t="shared" si="61"/>
        <v>High</v>
      </c>
      <c r="M797" t="str">
        <f t="shared" si="62"/>
        <v>Low</v>
      </c>
      <c r="N797" t="str">
        <f t="shared" si="63"/>
        <v>PIP</v>
      </c>
      <c r="O797" t="str">
        <f t="shared" ca="1" si="64"/>
        <v>Not Eligible</v>
      </c>
    </row>
    <row r="798" spans="1:15" x14ac:dyDescent="0.25">
      <c r="A798" t="s">
        <v>35</v>
      </c>
      <c r="B798">
        <v>25</v>
      </c>
      <c r="C798">
        <v>60216</v>
      </c>
      <c r="D798" t="s">
        <v>9</v>
      </c>
      <c r="E798" t="s">
        <v>27</v>
      </c>
      <c r="F798" t="s">
        <v>28</v>
      </c>
      <c r="G798" s="1">
        <v>43800</v>
      </c>
      <c r="H798" s="1" t="s">
        <v>17</v>
      </c>
      <c r="I798" s="1" t="s">
        <v>44</v>
      </c>
      <c r="J798" s="1" t="s">
        <v>19</v>
      </c>
      <c r="K798" s="4">
        <f t="shared" ca="1" si="60"/>
        <v>6.4</v>
      </c>
      <c r="L798" t="str">
        <f t="shared" si="61"/>
        <v>Medium</v>
      </c>
      <c r="M798" t="str">
        <f t="shared" si="62"/>
        <v>Low</v>
      </c>
      <c r="N798" t="str">
        <f t="shared" si="63"/>
        <v>PIP</v>
      </c>
      <c r="O798" t="str">
        <f t="shared" ca="1" si="64"/>
        <v>Not Eligible</v>
      </c>
    </row>
    <row r="799" spans="1:15" x14ac:dyDescent="0.25">
      <c r="A799" t="s">
        <v>38</v>
      </c>
      <c r="B799">
        <v>40</v>
      </c>
      <c r="C799">
        <v>60000</v>
      </c>
      <c r="D799" t="s">
        <v>26</v>
      </c>
      <c r="E799" t="s">
        <v>15</v>
      </c>
      <c r="F799" t="s">
        <v>30</v>
      </c>
      <c r="G799" s="1">
        <v>43800</v>
      </c>
      <c r="H799" s="1" t="s">
        <v>21</v>
      </c>
      <c r="I799" s="1" t="s">
        <v>18</v>
      </c>
      <c r="J799" s="1" t="s">
        <v>22</v>
      </c>
      <c r="K799" s="4">
        <f t="shared" ca="1" si="60"/>
        <v>6.4</v>
      </c>
      <c r="L799" t="str">
        <f t="shared" si="61"/>
        <v>Medium</v>
      </c>
      <c r="M799" t="str">
        <f t="shared" si="62"/>
        <v>Medium</v>
      </c>
      <c r="N799" t="str">
        <f t="shared" si="63"/>
        <v>No PIP</v>
      </c>
      <c r="O799" t="str">
        <f t="shared" ca="1" si="64"/>
        <v>Not Eligible</v>
      </c>
    </row>
    <row r="800" spans="1:15" x14ac:dyDescent="0.25">
      <c r="A800" t="s">
        <v>33</v>
      </c>
      <c r="B800">
        <v>35</v>
      </c>
      <c r="C800">
        <v>70000</v>
      </c>
      <c r="D800" t="s">
        <v>26</v>
      </c>
      <c r="E800" t="s">
        <v>20</v>
      </c>
      <c r="F800" t="s">
        <v>30</v>
      </c>
      <c r="G800" s="1">
        <v>43800</v>
      </c>
      <c r="H800" s="1" t="s">
        <v>12</v>
      </c>
      <c r="I800" s="1" t="s">
        <v>13</v>
      </c>
      <c r="J800" s="1" t="s">
        <v>19</v>
      </c>
      <c r="K800" s="4">
        <f t="shared" ca="1" si="60"/>
        <v>6.4</v>
      </c>
      <c r="L800" t="str">
        <f t="shared" si="61"/>
        <v>High</v>
      </c>
      <c r="M800" t="str">
        <f t="shared" si="62"/>
        <v>Low</v>
      </c>
      <c r="N800" t="str">
        <f t="shared" si="63"/>
        <v>PIP</v>
      </c>
      <c r="O800" t="str">
        <f t="shared" ca="1" si="64"/>
        <v>Not Eligible</v>
      </c>
    </row>
    <row r="801" spans="1:15" x14ac:dyDescent="0.25">
      <c r="A801" t="s">
        <v>38</v>
      </c>
      <c r="B801">
        <v>30</v>
      </c>
      <c r="C801">
        <v>50000</v>
      </c>
      <c r="D801" t="s">
        <v>9</v>
      </c>
      <c r="E801" t="s">
        <v>27</v>
      </c>
      <c r="F801" t="s">
        <v>28</v>
      </c>
      <c r="G801" s="1">
        <v>43800</v>
      </c>
      <c r="H801" s="1" t="s">
        <v>29</v>
      </c>
      <c r="I801" s="1" t="s">
        <v>18</v>
      </c>
      <c r="J801" s="1" t="s">
        <v>44</v>
      </c>
      <c r="K801" s="4">
        <f t="shared" ca="1" si="60"/>
        <v>6.4</v>
      </c>
      <c r="L801" t="str">
        <f t="shared" si="61"/>
        <v>Low</v>
      </c>
      <c r="M801" t="str">
        <f t="shared" si="62"/>
        <v>Medium</v>
      </c>
      <c r="N801" t="str">
        <f t="shared" si="63"/>
        <v>No PIP</v>
      </c>
      <c r="O801" t="str">
        <f t="shared" ca="1" si="64"/>
        <v>Not Eligible</v>
      </c>
    </row>
    <row r="802" spans="1:15" x14ac:dyDescent="0.25">
      <c r="A802" t="s">
        <v>39</v>
      </c>
      <c r="B802">
        <v>40</v>
      </c>
      <c r="C802">
        <v>55000</v>
      </c>
      <c r="D802" t="s">
        <v>9</v>
      </c>
      <c r="E802" t="s">
        <v>23</v>
      </c>
      <c r="F802" t="s">
        <v>11</v>
      </c>
      <c r="G802" s="1">
        <v>43800</v>
      </c>
      <c r="H802" s="1" t="s">
        <v>24</v>
      </c>
      <c r="I802" s="1" t="s">
        <v>44</v>
      </c>
      <c r="J802" s="1" t="s">
        <v>22</v>
      </c>
      <c r="K802" s="4">
        <f t="shared" ca="1" si="60"/>
        <v>6.4</v>
      </c>
      <c r="L802" t="str">
        <f t="shared" si="61"/>
        <v>Low</v>
      </c>
      <c r="M802" t="str">
        <f t="shared" si="62"/>
        <v>High</v>
      </c>
      <c r="N802" t="str">
        <f t="shared" si="63"/>
        <v>No PIP</v>
      </c>
      <c r="O802" t="str">
        <f t="shared" ca="1" si="64"/>
        <v>Eligible</v>
      </c>
    </row>
    <row r="803" spans="1:15" x14ac:dyDescent="0.25">
      <c r="A803" t="s">
        <v>39</v>
      </c>
      <c r="B803">
        <v>25</v>
      </c>
      <c r="C803">
        <v>65000</v>
      </c>
      <c r="D803" t="s">
        <v>26</v>
      </c>
      <c r="E803" t="s">
        <v>27</v>
      </c>
      <c r="F803" t="s">
        <v>11</v>
      </c>
      <c r="G803" s="1">
        <v>43800</v>
      </c>
      <c r="H803" s="1" t="s">
        <v>21</v>
      </c>
      <c r="I803" s="1" t="s">
        <v>13</v>
      </c>
      <c r="J803" s="1" t="s">
        <v>44</v>
      </c>
      <c r="K803" s="4">
        <f t="shared" ca="1" si="60"/>
        <v>6.4</v>
      </c>
      <c r="L803" t="str">
        <f t="shared" si="61"/>
        <v>High</v>
      </c>
      <c r="M803" t="str">
        <f t="shared" si="62"/>
        <v>Medium</v>
      </c>
      <c r="N803" t="str">
        <f t="shared" si="63"/>
        <v>No PIP</v>
      </c>
      <c r="O803" t="str">
        <f t="shared" ca="1" si="64"/>
        <v>Not Eligible</v>
      </c>
    </row>
    <row r="804" spans="1:15" x14ac:dyDescent="0.25">
      <c r="A804" t="s">
        <v>38</v>
      </c>
      <c r="B804">
        <v>40</v>
      </c>
      <c r="C804">
        <v>55000</v>
      </c>
      <c r="D804" t="s">
        <v>26</v>
      </c>
      <c r="E804" t="s">
        <v>20</v>
      </c>
      <c r="F804" t="s">
        <v>16</v>
      </c>
      <c r="G804" s="1">
        <v>43800</v>
      </c>
      <c r="H804" s="1" t="s">
        <v>21</v>
      </c>
      <c r="I804" s="1" t="s">
        <v>13</v>
      </c>
      <c r="J804" s="1" t="s">
        <v>32</v>
      </c>
      <c r="K804" s="4">
        <f t="shared" ca="1" si="60"/>
        <v>6.4</v>
      </c>
      <c r="L804" t="str">
        <f t="shared" si="61"/>
        <v>Low</v>
      </c>
      <c r="M804" t="str">
        <f t="shared" si="62"/>
        <v>Medium</v>
      </c>
      <c r="N804" t="str">
        <f t="shared" si="63"/>
        <v>No PIP</v>
      </c>
      <c r="O804" t="str">
        <f t="shared" ca="1" si="64"/>
        <v>Not Eligible</v>
      </c>
    </row>
    <row r="805" spans="1:15" x14ac:dyDescent="0.25">
      <c r="A805" t="s">
        <v>37</v>
      </c>
      <c r="B805">
        <v>35</v>
      </c>
      <c r="C805">
        <v>60216</v>
      </c>
      <c r="D805" t="s">
        <v>9</v>
      </c>
      <c r="E805" t="s">
        <v>27</v>
      </c>
      <c r="F805" t="s">
        <v>31</v>
      </c>
      <c r="G805" s="1">
        <v>43800</v>
      </c>
      <c r="H805" s="1" t="s">
        <v>29</v>
      </c>
      <c r="I805" s="1" t="s">
        <v>13</v>
      </c>
      <c r="J805" s="1" t="s">
        <v>44</v>
      </c>
      <c r="K805" s="4">
        <f t="shared" ca="1" si="60"/>
        <v>6.4</v>
      </c>
      <c r="L805" t="str">
        <f t="shared" si="61"/>
        <v>Medium</v>
      </c>
      <c r="M805" t="str">
        <f t="shared" si="62"/>
        <v>Medium</v>
      </c>
      <c r="N805" t="str">
        <f t="shared" si="63"/>
        <v>No PIP</v>
      </c>
      <c r="O805" t="str">
        <f t="shared" ca="1" si="64"/>
        <v>Not Eligible</v>
      </c>
    </row>
    <row r="806" spans="1:15" x14ac:dyDescent="0.25">
      <c r="A806" t="s">
        <v>41</v>
      </c>
      <c r="B806">
        <v>25</v>
      </c>
      <c r="C806">
        <v>65000</v>
      </c>
      <c r="D806" t="s">
        <v>14</v>
      </c>
      <c r="E806" t="s">
        <v>23</v>
      </c>
      <c r="F806" t="s">
        <v>28</v>
      </c>
      <c r="G806" s="1">
        <v>43800</v>
      </c>
      <c r="H806" s="1" t="s">
        <v>29</v>
      </c>
      <c r="I806" s="1" t="s">
        <v>13</v>
      </c>
      <c r="J806" s="1" t="s">
        <v>22</v>
      </c>
      <c r="K806" s="4">
        <f t="shared" ca="1" si="60"/>
        <v>6.4</v>
      </c>
      <c r="L806" t="str">
        <f t="shared" si="61"/>
        <v>High</v>
      </c>
      <c r="M806" t="str">
        <f t="shared" si="62"/>
        <v>Medium</v>
      </c>
      <c r="N806" t="str">
        <f t="shared" si="63"/>
        <v>No PIP</v>
      </c>
      <c r="O806" t="str">
        <f t="shared" ca="1" si="64"/>
        <v>Not Eligible</v>
      </c>
    </row>
    <row r="807" spans="1:15" x14ac:dyDescent="0.25">
      <c r="A807" t="s">
        <v>41</v>
      </c>
      <c r="B807">
        <v>35</v>
      </c>
      <c r="C807">
        <v>65000</v>
      </c>
      <c r="D807" t="s">
        <v>14</v>
      </c>
      <c r="E807" t="s">
        <v>20</v>
      </c>
      <c r="F807" t="s">
        <v>28</v>
      </c>
      <c r="G807" s="1">
        <v>43800</v>
      </c>
      <c r="H807" s="1" t="s">
        <v>17</v>
      </c>
      <c r="I807" s="1" t="s">
        <v>13</v>
      </c>
      <c r="J807" s="1" t="s">
        <v>22</v>
      </c>
      <c r="K807" s="4">
        <f t="shared" ca="1" si="60"/>
        <v>6.4</v>
      </c>
      <c r="L807" t="str">
        <f t="shared" si="61"/>
        <v>High</v>
      </c>
      <c r="M807" t="str">
        <f t="shared" si="62"/>
        <v>Low</v>
      </c>
      <c r="N807" t="str">
        <f t="shared" si="63"/>
        <v>PIP</v>
      </c>
      <c r="O807" t="str">
        <f t="shared" ca="1" si="64"/>
        <v>Not Eligible</v>
      </c>
    </row>
    <row r="808" spans="1:15" x14ac:dyDescent="0.25">
      <c r="A808" t="s">
        <v>39</v>
      </c>
      <c r="B808">
        <v>50</v>
      </c>
      <c r="C808">
        <v>60000</v>
      </c>
      <c r="D808" t="s">
        <v>9</v>
      </c>
      <c r="E808" t="s">
        <v>10</v>
      </c>
      <c r="F808" t="s">
        <v>28</v>
      </c>
      <c r="G808" s="1">
        <v>43800</v>
      </c>
      <c r="H808" s="1" t="s">
        <v>17</v>
      </c>
      <c r="I808" s="1" t="s">
        <v>25</v>
      </c>
      <c r="J808" s="1" t="s">
        <v>22</v>
      </c>
      <c r="K808" s="4">
        <f t="shared" ca="1" si="60"/>
        <v>6.4</v>
      </c>
      <c r="L808" t="str">
        <f t="shared" si="61"/>
        <v>Medium</v>
      </c>
      <c r="M808" t="str">
        <f t="shared" si="62"/>
        <v>Low</v>
      </c>
      <c r="N808" t="str">
        <f t="shared" si="63"/>
        <v>PIP</v>
      </c>
      <c r="O808" t="str">
        <f t="shared" ca="1" si="64"/>
        <v>Not Eligible</v>
      </c>
    </row>
    <row r="809" spans="1:15" x14ac:dyDescent="0.25">
      <c r="A809" t="s">
        <v>37</v>
      </c>
      <c r="B809">
        <v>40</v>
      </c>
      <c r="C809">
        <v>65000</v>
      </c>
      <c r="D809" t="s">
        <v>9</v>
      </c>
      <c r="E809" t="s">
        <v>23</v>
      </c>
      <c r="F809" t="s">
        <v>28</v>
      </c>
      <c r="G809" s="1">
        <v>43800</v>
      </c>
      <c r="H809" s="1" t="s">
        <v>21</v>
      </c>
      <c r="I809" s="1" t="s">
        <v>13</v>
      </c>
      <c r="J809" s="1" t="s">
        <v>19</v>
      </c>
      <c r="K809" s="4">
        <f t="shared" ca="1" si="60"/>
        <v>6.4</v>
      </c>
      <c r="L809" t="str">
        <f t="shared" si="61"/>
        <v>High</v>
      </c>
      <c r="M809" t="str">
        <f t="shared" si="62"/>
        <v>Medium</v>
      </c>
      <c r="N809" t="str">
        <f t="shared" si="63"/>
        <v>No PIP</v>
      </c>
      <c r="O809" t="str">
        <f t="shared" ca="1" si="64"/>
        <v>Not Eligible</v>
      </c>
    </row>
    <row r="810" spans="1:15" x14ac:dyDescent="0.25">
      <c r="A810" t="s">
        <v>39</v>
      </c>
      <c r="B810">
        <v>30</v>
      </c>
      <c r="C810">
        <v>65000</v>
      </c>
      <c r="D810" t="s">
        <v>26</v>
      </c>
      <c r="E810" t="s">
        <v>10</v>
      </c>
      <c r="F810" t="s">
        <v>30</v>
      </c>
      <c r="G810" s="1">
        <v>43800</v>
      </c>
      <c r="H810" s="1" t="s">
        <v>12</v>
      </c>
      <c r="I810" s="1" t="s">
        <v>44</v>
      </c>
      <c r="J810" s="1" t="s">
        <v>32</v>
      </c>
      <c r="K810" s="4">
        <f t="shared" ca="1" si="60"/>
        <v>6.4</v>
      </c>
      <c r="L810" t="str">
        <f t="shared" si="61"/>
        <v>High</v>
      </c>
      <c r="M810" t="str">
        <f t="shared" si="62"/>
        <v>Low</v>
      </c>
      <c r="N810" t="str">
        <f t="shared" si="63"/>
        <v>PIP</v>
      </c>
      <c r="O810" t="str">
        <f t="shared" ca="1" si="64"/>
        <v>Not Eligible</v>
      </c>
    </row>
    <row r="811" spans="1:15" x14ac:dyDescent="0.25">
      <c r="A811" t="s">
        <v>35</v>
      </c>
      <c r="B811">
        <v>50</v>
      </c>
      <c r="C811">
        <v>65000</v>
      </c>
      <c r="D811" t="s">
        <v>26</v>
      </c>
      <c r="E811" t="s">
        <v>10</v>
      </c>
      <c r="F811" t="s">
        <v>28</v>
      </c>
      <c r="G811" s="1">
        <v>43800</v>
      </c>
      <c r="H811" s="1" t="s">
        <v>12</v>
      </c>
      <c r="I811" s="1" t="s">
        <v>44</v>
      </c>
      <c r="J811" s="1" t="s">
        <v>22</v>
      </c>
      <c r="K811" s="4">
        <f t="shared" ca="1" si="60"/>
        <v>6.4</v>
      </c>
      <c r="L811" t="str">
        <f t="shared" si="61"/>
        <v>High</v>
      </c>
      <c r="M811" t="str">
        <f t="shared" si="62"/>
        <v>Low</v>
      </c>
      <c r="N811" t="str">
        <f t="shared" si="63"/>
        <v>PIP</v>
      </c>
      <c r="O811" t="str">
        <f t="shared" ca="1" si="64"/>
        <v>Not Eligible</v>
      </c>
    </row>
    <row r="812" spans="1:15" x14ac:dyDescent="0.25">
      <c r="A812" t="s">
        <v>34</v>
      </c>
      <c r="B812">
        <v>30</v>
      </c>
      <c r="C812">
        <v>55000</v>
      </c>
      <c r="D812" t="s">
        <v>9</v>
      </c>
      <c r="E812" t="s">
        <v>23</v>
      </c>
      <c r="F812" t="s">
        <v>28</v>
      </c>
      <c r="G812" s="1">
        <v>43800</v>
      </c>
      <c r="H812" s="1" t="s">
        <v>12</v>
      </c>
      <c r="I812" s="1" t="s">
        <v>44</v>
      </c>
      <c r="J812" s="1" t="s">
        <v>44</v>
      </c>
      <c r="K812" s="4">
        <f t="shared" ca="1" si="60"/>
        <v>6.4</v>
      </c>
      <c r="L812" t="str">
        <f t="shared" si="61"/>
        <v>Low</v>
      </c>
      <c r="M812" t="str">
        <f t="shared" si="62"/>
        <v>Low</v>
      </c>
      <c r="N812" t="str">
        <f t="shared" si="63"/>
        <v>PIP</v>
      </c>
      <c r="O812" t="str">
        <f t="shared" ca="1" si="64"/>
        <v>Not Eligible</v>
      </c>
    </row>
    <row r="813" spans="1:15" x14ac:dyDescent="0.25">
      <c r="A813" t="s">
        <v>38</v>
      </c>
      <c r="B813">
        <v>30</v>
      </c>
      <c r="C813">
        <v>65000</v>
      </c>
      <c r="D813" t="s">
        <v>14</v>
      </c>
      <c r="E813" t="s">
        <v>10</v>
      </c>
      <c r="F813" t="s">
        <v>16</v>
      </c>
      <c r="G813" s="1">
        <v>43800</v>
      </c>
      <c r="H813" s="1" t="s">
        <v>12</v>
      </c>
      <c r="I813" s="1" t="s">
        <v>18</v>
      </c>
      <c r="J813" s="1" t="s">
        <v>32</v>
      </c>
      <c r="K813" s="4">
        <f t="shared" ca="1" si="60"/>
        <v>6.4</v>
      </c>
      <c r="L813" t="str">
        <f t="shared" si="61"/>
        <v>High</v>
      </c>
      <c r="M813" t="str">
        <f t="shared" si="62"/>
        <v>Low</v>
      </c>
      <c r="N813" t="str">
        <f t="shared" si="63"/>
        <v>PIP</v>
      </c>
      <c r="O813" t="str">
        <f t="shared" ca="1" si="64"/>
        <v>Not Eligible</v>
      </c>
    </row>
    <row r="814" spans="1:15" x14ac:dyDescent="0.25">
      <c r="A814" t="s">
        <v>34</v>
      </c>
      <c r="B814">
        <v>40</v>
      </c>
      <c r="C814">
        <v>70000</v>
      </c>
      <c r="D814" t="s">
        <v>14</v>
      </c>
      <c r="E814" t="s">
        <v>23</v>
      </c>
      <c r="F814" t="s">
        <v>11</v>
      </c>
      <c r="G814" s="1">
        <v>43800</v>
      </c>
      <c r="H814" s="1" t="s">
        <v>21</v>
      </c>
      <c r="I814" s="1" t="s">
        <v>18</v>
      </c>
      <c r="J814" s="1" t="s">
        <v>44</v>
      </c>
      <c r="K814" s="4">
        <f t="shared" ca="1" si="60"/>
        <v>6.4</v>
      </c>
      <c r="L814" t="str">
        <f t="shared" si="61"/>
        <v>High</v>
      </c>
      <c r="M814" t="str">
        <f t="shared" si="62"/>
        <v>Medium</v>
      </c>
      <c r="N814" t="str">
        <f t="shared" si="63"/>
        <v>No PIP</v>
      </c>
      <c r="O814" t="str">
        <f t="shared" ca="1" si="64"/>
        <v>Not Eligible</v>
      </c>
    </row>
    <row r="815" spans="1:15" x14ac:dyDescent="0.25">
      <c r="A815" t="s">
        <v>37</v>
      </c>
      <c r="B815">
        <v>50</v>
      </c>
      <c r="C815">
        <v>60000</v>
      </c>
      <c r="D815" t="s">
        <v>14</v>
      </c>
      <c r="E815" t="s">
        <v>20</v>
      </c>
      <c r="F815" t="s">
        <v>16</v>
      </c>
      <c r="G815" s="1">
        <v>43800</v>
      </c>
      <c r="H815" s="1" t="s">
        <v>17</v>
      </c>
      <c r="I815" s="1" t="s">
        <v>18</v>
      </c>
      <c r="J815" s="1" t="s">
        <v>19</v>
      </c>
      <c r="K815" s="4">
        <f t="shared" ca="1" si="60"/>
        <v>6.4</v>
      </c>
      <c r="L815" t="str">
        <f t="shared" si="61"/>
        <v>Medium</v>
      </c>
      <c r="M815" t="str">
        <f t="shared" si="62"/>
        <v>Low</v>
      </c>
      <c r="N815" t="str">
        <f t="shared" si="63"/>
        <v>PIP</v>
      </c>
      <c r="O815" t="str">
        <f t="shared" ca="1" si="64"/>
        <v>Not Eligible</v>
      </c>
    </row>
    <row r="816" spans="1:15" x14ac:dyDescent="0.25">
      <c r="A816" t="s">
        <v>33</v>
      </c>
      <c r="B816">
        <v>25</v>
      </c>
      <c r="C816">
        <v>50000</v>
      </c>
      <c r="D816" t="s">
        <v>9</v>
      </c>
      <c r="E816" t="s">
        <v>10</v>
      </c>
      <c r="F816" t="s">
        <v>11</v>
      </c>
      <c r="G816" s="1">
        <v>43192</v>
      </c>
      <c r="H816" s="1" t="s">
        <v>12</v>
      </c>
      <c r="I816" s="1" t="s">
        <v>13</v>
      </c>
      <c r="J816" s="1" t="s">
        <v>44</v>
      </c>
      <c r="K816" s="4">
        <f t="shared" ca="1" si="60"/>
        <v>8</v>
      </c>
      <c r="L816" t="str">
        <f t="shared" si="61"/>
        <v>Low</v>
      </c>
      <c r="M816" t="str">
        <f t="shared" si="62"/>
        <v>Low</v>
      </c>
      <c r="N816" t="str">
        <f t="shared" si="63"/>
        <v>PIP</v>
      </c>
      <c r="O816" t="str">
        <f t="shared" ca="1" si="64"/>
        <v>Not Eligible</v>
      </c>
    </row>
    <row r="817" spans="1:15" x14ac:dyDescent="0.25">
      <c r="A817" t="s">
        <v>36</v>
      </c>
      <c r="B817">
        <v>35</v>
      </c>
      <c r="C817">
        <v>50000</v>
      </c>
      <c r="D817" t="s">
        <v>14</v>
      </c>
      <c r="E817" t="s">
        <v>23</v>
      </c>
      <c r="F817" t="s">
        <v>11</v>
      </c>
      <c r="G817" s="1">
        <v>43192</v>
      </c>
      <c r="H817" s="1" t="s">
        <v>24</v>
      </c>
      <c r="I817" s="1" t="s">
        <v>25</v>
      </c>
      <c r="J817" s="1" t="s">
        <v>44</v>
      </c>
      <c r="K817" s="4">
        <f t="shared" ca="1" si="60"/>
        <v>8</v>
      </c>
      <c r="L817" t="str">
        <f t="shared" si="61"/>
        <v>Low</v>
      </c>
      <c r="M817" t="str">
        <f t="shared" si="62"/>
        <v>High</v>
      </c>
      <c r="N817" t="str">
        <f t="shared" si="63"/>
        <v>No PIP</v>
      </c>
      <c r="O817" t="str">
        <f t="shared" ca="1" si="64"/>
        <v>Eligible</v>
      </c>
    </row>
    <row r="818" spans="1:15" x14ac:dyDescent="0.25">
      <c r="A818" t="s">
        <v>35</v>
      </c>
      <c r="B818">
        <v>30</v>
      </c>
      <c r="C818">
        <v>50000</v>
      </c>
      <c r="D818" t="s">
        <v>9</v>
      </c>
      <c r="E818" t="s">
        <v>23</v>
      </c>
      <c r="F818" t="s">
        <v>30</v>
      </c>
      <c r="G818" s="1">
        <v>43192</v>
      </c>
      <c r="H818" s="1" t="s">
        <v>12</v>
      </c>
      <c r="I818" s="1" t="s">
        <v>44</v>
      </c>
      <c r="J818" s="1" t="s">
        <v>44</v>
      </c>
      <c r="K818" s="4">
        <f t="shared" ca="1" si="60"/>
        <v>8</v>
      </c>
      <c r="L818" t="str">
        <f t="shared" si="61"/>
        <v>Low</v>
      </c>
      <c r="M818" t="str">
        <f t="shared" si="62"/>
        <v>Low</v>
      </c>
      <c r="N818" t="str">
        <f t="shared" si="63"/>
        <v>PIP</v>
      </c>
      <c r="O818" t="str">
        <f t="shared" ca="1" si="64"/>
        <v>Not Eligible</v>
      </c>
    </row>
    <row r="819" spans="1:15" x14ac:dyDescent="0.25">
      <c r="A819" t="s">
        <v>36</v>
      </c>
      <c r="B819">
        <v>35</v>
      </c>
      <c r="C819">
        <v>65000</v>
      </c>
      <c r="D819" t="s">
        <v>9</v>
      </c>
      <c r="E819" t="s">
        <v>15</v>
      </c>
      <c r="F819" t="s">
        <v>28</v>
      </c>
      <c r="G819" s="1">
        <v>43192</v>
      </c>
      <c r="H819" s="1" t="s">
        <v>17</v>
      </c>
      <c r="I819" s="1" t="s">
        <v>44</v>
      </c>
      <c r="J819" s="1" t="s">
        <v>19</v>
      </c>
      <c r="K819" s="4">
        <f t="shared" ca="1" si="60"/>
        <v>8</v>
      </c>
      <c r="L819" t="str">
        <f t="shared" si="61"/>
        <v>High</v>
      </c>
      <c r="M819" t="str">
        <f t="shared" si="62"/>
        <v>Low</v>
      </c>
      <c r="N819" t="str">
        <f t="shared" si="63"/>
        <v>PIP</v>
      </c>
      <c r="O819" t="str">
        <f t="shared" ca="1" si="64"/>
        <v>Not Eligible</v>
      </c>
    </row>
    <row r="820" spans="1:15" x14ac:dyDescent="0.25">
      <c r="A820" t="s">
        <v>35</v>
      </c>
      <c r="B820">
        <v>50</v>
      </c>
      <c r="C820">
        <v>55000</v>
      </c>
      <c r="D820" t="s">
        <v>9</v>
      </c>
      <c r="E820" t="s">
        <v>10</v>
      </c>
      <c r="F820" t="s">
        <v>16</v>
      </c>
      <c r="G820" s="1">
        <v>43192</v>
      </c>
      <c r="H820" s="1" t="s">
        <v>12</v>
      </c>
      <c r="I820" s="1" t="s">
        <v>18</v>
      </c>
      <c r="J820" s="1" t="s">
        <v>44</v>
      </c>
      <c r="K820" s="4">
        <f t="shared" ca="1" si="60"/>
        <v>8</v>
      </c>
      <c r="L820" t="str">
        <f t="shared" si="61"/>
        <v>Low</v>
      </c>
      <c r="M820" t="str">
        <f t="shared" si="62"/>
        <v>Low</v>
      </c>
      <c r="N820" t="str">
        <f t="shared" si="63"/>
        <v>PIP</v>
      </c>
      <c r="O820" t="str">
        <f t="shared" ca="1" si="64"/>
        <v>Not Eligible</v>
      </c>
    </row>
    <row r="821" spans="1:15" x14ac:dyDescent="0.25">
      <c r="A821" t="s">
        <v>41</v>
      </c>
      <c r="B821">
        <v>25</v>
      </c>
      <c r="C821">
        <v>50000</v>
      </c>
      <c r="D821" t="s">
        <v>26</v>
      </c>
      <c r="E821" t="s">
        <v>23</v>
      </c>
      <c r="F821" t="s">
        <v>16</v>
      </c>
      <c r="G821" s="1">
        <v>43192</v>
      </c>
      <c r="H821" s="1" t="s">
        <v>17</v>
      </c>
      <c r="I821" s="1" t="s">
        <v>18</v>
      </c>
      <c r="J821" s="1" t="s">
        <v>32</v>
      </c>
      <c r="K821" s="4">
        <f t="shared" ca="1" si="60"/>
        <v>8</v>
      </c>
      <c r="L821" t="str">
        <f t="shared" si="61"/>
        <v>Low</v>
      </c>
      <c r="M821" t="str">
        <f t="shared" si="62"/>
        <v>Low</v>
      </c>
      <c r="N821" t="str">
        <f t="shared" si="63"/>
        <v>PIP</v>
      </c>
      <c r="O821" t="str">
        <f t="shared" ca="1" si="64"/>
        <v>Not Eligible</v>
      </c>
    </row>
    <row r="822" spans="1:15" x14ac:dyDescent="0.25">
      <c r="A822" t="s">
        <v>37</v>
      </c>
      <c r="B822">
        <v>50</v>
      </c>
      <c r="C822">
        <v>50000</v>
      </c>
      <c r="D822" t="s">
        <v>26</v>
      </c>
      <c r="E822" t="s">
        <v>27</v>
      </c>
      <c r="F822" t="s">
        <v>31</v>
      </c>
      <c r="G822" s="1">
        <v>43192</v>
      </c>
      <c r="H822" s="1" t="s">
        <v>29</v>
      </c>
      <c r="I822" s="1" t="s">
        <v>13</v>
      </c>
      <c r="J822" s="1" t="s">
        <v>44</v>
      </c>
      <c r="K822" s="4">
        <f t="shared" ca="1" si="60"/>
        <v>8</v>
      </c>
      <c r="L822" t="str">
        <f t="shared" si="61"/>
        <v>Low</v>
      </c>
      <c r="M822" t="str">
        <f t="shared" si="62"/>
        <v>Medium</v>
      </c>
      <c r="N822" t="str">
        <f t="shared" si="63"/>
        <v>No PIP</v>
      </c>
      <c r="O822" t="str">
        <f t="shared" ca="1" si="64"/>
        <v>Not Eligible</v>
      </c>
    </row>
    <row r="823" spans="1:15" x14ac:dyDescent="0.25">
      <c r="A823" t="s">
        <v>42</v>
      </c>
      <c r="B823">
        <v>40</v>
      </c>
      <c r="C823">
        <v>50000</v>
      </c>
      <c r="D823" t="s">
        <v>26</v>
      </c>
      <c r="E823" t="s">
        <v>15</v>
      </c>
      <c r="F823" t="s">
        <v>11</v>
      </c>
      <c r="G823" s="1">
        <v>43192</v>
      </c>
      <c r="H823" s="1" t="s">
        <v>24</v>
      </c>
      <c r="I823" s="1" t="s">
        <v>25</v>
      </c>
      <c r="J823" s="1" t="s">
        <v>19</v>
      </c>
      <c r="K823" s="4">
        <f t="shared" ca="1" si="60"/>
        <v>8</v>
      </c>
      <c r="L823" t="str">
        <f t="shared" si="61"/>
        <v>Low</v>
      </c>
      <c r="M823" t="str">
        <f t="shared" si="62"/>
        <v>High</v>
      </c>
      <c r="N823" t="str">
        <f t="shared" si="63"/>
        <v>No PIP</v>
      </c>
      <c r="O823" t="str">
        <f t="shared" ca="1" si="64"/>
        <v>Eligible</v>
      </c>
    </row>
    <row r="824" spans="1:15" x14ac:dyDescent="0.25">
      <c r="A824" t="s">
        <v>38</v>
      </c>
      <c r="B824">
        <v>40</v>
      </c>
      <c r="C824">
        <v>60216</v>
      </c>
      <c r="D824" t="s">
        <v>14</v>
      </c>
      <c r="E824" t="s">
        <v>23</v>
      </c>
      <c r="F824" t="s">
        <v>16</v>
      </c>
      <c r="G824" s="1">
        <v>43192</v>
      </c>
      <c r="H824" s="1" t="s">
        <v>12</v>
      </c>
      <c r="I824" s="1" t="s">
        <v>13</v>
      </c>
      <c r="J824" s="1" t="s">
        <v>32</v>
      </c>
      <c r="K824" s="4">
        <f t="shared" ca="1" si="60"/>
        <v>8</v>
      </c>
      <c r="L824" t="str">
        <f t="shared" si="61"/>
        <v>Medium</v>
      </c>
      <c r="M824" t="str">
        <f t="shared" si="62"/>
        <v>Low</v>
      </c>
      <c r="N824" t="str">
        <f t="shared" si="63"/>
        <v>PIP</v>
      </c>
      <c r="O824" t="str">
        <f t="shared" ca="1" si="64"/>
        <v>Not Eligible</v>
      </c>
    </row>
    <row r="825" spans="1:15" x14ac:dyDescent="0.25">
      <c r="A825" t="s">
        <v>42</v>
      </c>
      <c r="B825">
        <v>40</v>
      </c>
      <c r="C825">
        <v>70000</v>
      </c>
      <c r="D825" t="s">
        <v>14</v>
      </c>
      <c r="E825" t="s">
        <v>10</v>
      </c>
      <c r="F825" t="s">
        <v>30</v>
      </c>
      <c r="G825" s="1">
        <v>43192</v>
      </c>
      <c r="H825" s="1" t="s">
        <v>21</v>
      </c>
      <c r="I825" s="1" t="s">
        <v>13</v>
      </c>
      <c r="J825" s="1" t="s">
        <v>44</v>
      </c>
      <c r="K825" s="4">
        <f t="shared" ca="1" si="60"/>
        <v>8</v>
      </c>
      <c r="L825" t="str">
        <f t="shared" si="61"/>
        <v>High</v>
      </c>
      <c r="M825" t="str">
        <f t="shared" si="62"/>
        <v>Medium</v>
      </c>
      <c r="N825" t="str">
        <f t="shared" si="63"/>
        <v>No PIP</v>
      </c>
      <c r="O825" t="str">
        <f t="shared" ca="1" si="64"/>
        <v>Not Eligible</v>
      </c>
    </row>
    <row r="826" spans="1:15" x14ac:dyDescent="0.25">
      <c r="A826" t="s">
        <v>38</v>
      </c>
      <c r="B826">
        <v>30</v>
      </c>
      <c r="C826">
        <v>50000</v>
      </c>
      <c r="D826" t="s">
        <v>14</v>
      </c>
      <c r="E826" t="s">
        <v>20</v>
      </c>
      <c r="F826" t="s">
        <v>30</v>
      </c>
      <c r="G826" s="1">
        <v>43192</v>
      </c>
      <c r="H826" s="1" t="s">
        <v>12</v>
      </c>
      <c r="I826" s="1" t="s">
        <v>18</v>
      </c>
      <c r="J826" s="1" t="s">
        <v>22</v>
      </c>
      <c r="K826" s="4">
        <f t="shared" ca="1" si="60"/>
        <v>8</v>
      </c>
      <c r="L826" t="str">
        <f t="shared" si="61"/>
        <v>Low</v>
      </c>
      <c r="M826" t="str">
        <f t="shared" si="62"/>
        <v>Low</v>
      </c>
      <c r="N826" t="str">
        <f t="shared" si="63"/>
        <v>PIP</v>
      </c>
      <c r="O826" t="str">
        <f t="shared" ca="1" si="64"/>
        <v>Not Eligible</v>
      </c>
    </row>
    <row r="827" spans="1:15" x14ac:dyDescent="0.25">
      <c r="A827" t="s">
        <v>39</v>
      </c>
      <c r="B827">
        <v>35</v>
      </c>
      <c r="C827">
        <v>50000</v>
      </c>
      <c r="D827" t="s">
        <v>9</v>
      </c>
      <c r="E827" t="s">
        <v>27</v>
      </c>
      <c r="F827" t="s">
        <v>28</v>
      </c>
      <c r="G827" s="1">
        <v>43192</v>
      </c>
      <c r="H827" s="1" t="s">
        <v>12</v>
      </c>
      <c r="I827" s="1" t="s">
        <v>44</v>
      </c>
      <c r="J827" s="1" t="s">
        <v>22</v>
      </c>
      <c r="K827" s="4">
        <f t="shared" ca="1" si="60"/>
        <v>8</v>
      </c>
      <c r="L827" t="str">
        <f t="shared" si="61"/>
        <v>Low</v>
      </c>
      <c r="M827" t="str">
        <f t="shared" si="62"/>
        <v>Low</v>
      </c>
      <c r="N827" t="str">
        <f t="shared" si="63"/>
        <v>PIP</v>
      </c>
      <c r="O827" t="str">
        <f t="shared" ca="1" si="64"/>
        <v>Not Eligible</v>
      </c>
    </row>
    <row r="828" spans="1:15" x14ac:dyDescent="0.25">
      <c r="A828" t="s">
        <v>39</v>
      </c>
      <c r="B828">
        <v>35</v>
      </c>
      <c r="C828">
        <v>50000</v>
      </c>
      <c r="D828" t="s">
        <v>9</v>
      </c>
      <c r="E828" t="s">
        <v>23</v>
      </c>
      <c r="F828" t="s">
        <v>16</v>
      </c>
      <c r="G828" s="1">
        <v>43192</v>
      </c>
      <c r="H828" s="1" t="s">
        <v>24</v>
      </c>
      <c r="I828" s="1" t="s">
        <v>13</v>
      </c>
      <c r="J828" s="1" t="s">
        <v>44</v>
      </c>
      <c r="K828" s="4">
        <f t="shared" ca="1" si="60"/>
        <v>8</v>
      </c>
      <c r="L828" t="str">
        <f t="shared" si="61"/>
        <v>Low</v>
      </c>
      <c r="M828" t="str">
        <f t="shared" si="62"/>
        <v>High</v>
      </c>
      <c r="N828" t="str">
        <f t="shared" si="63"/>
        <v>No PIP</v>
      </c>
      <c r="O828" t="str">
        <f t="shared" ca="1" si="64"/>
        <v>Eligible</v>
      </c>
    </row>
    <row r="829" spans="1:15" x14ac:dyDescent="0.25">
      <c r="A829" t="s">
        <v>37</v>
      </c>
      <c r="B829">
        <v>35</v>
      </c>
      <c r="C829">
        <v>50000</v>
      </c>
      <c r="D829" t="s">
        <v>26</v>
      </c>
      <c r="E829" t="s">
        <v>15</v>
      </c>
      <c r="F829" t="s">
        <v>28</v>
      </c>
      <c r="G829" s="1">
        <v>43192</v>
      </c>
      <c r="H829" s="1" t="s">
        <v>12</v>
      </c>
      <c r="I829" s="1" t="s">
        <v>18</v>
      </c>
      <c r="J829" s="1" t="s">
        <v>44</v>
      </c>
      <c r="K829" s="4">
        <f t="shared" ca="1" si="60"/>
        <v>8</v>
      </c>
      <c r="L829" t="str">
        <f t="shared" si="61"/>
        <v>Low</v>
      </c>
      <c r="M829" t="str">
        <f t="shared" si="62"/>
        <v>Low</v>
      </c>
      <c r="N829" t="str">
        <f t="shared" si="63"/>
        <v>PIP</v>
      </c>
      <c r="O829" t="str">
        <f t="shared" ca="1" si="64"/>
        <v>Not Eligible</v>
      </c>
    </row>
    <row r="830" spans="1:15" x14ac:dyDescent="0.25">
      <c r="A830" t="s">
        <v>34</v>
      </c>
      <c r="B830">
        <v>50</v>
      </c>
      <c r="C830">
        <v>50000</v>
      </c>
      <c r="D830" t="s">
        <v>14</v>
      </c>
      <c r="E830" t="s">
        <v>20</v>
      </c>
      <c r="F830" t="s">
        <v>31</v>
      </c>
      <c r="G830" s="1">
        <v>43192</v>
      </c>
      <c r="H830" s="1" t="s">
        <v>17</v>
      </c>
      <c r="I830" s="1" t="s">
        <v>18</v>
      </c>
      <c r="J830" s="1" t="s">
        <v>44</v>
      </c>
      <c r="K830" s="4">
        <f t="shared" ca="1" si="60"/>
        <v>8</v>
      </c>
      <c r="L830" t="str">
        <f t="shared" si="61"/>
        <v>Low</v>
      </c>
      <c r="M830" t="str">
        <f t="shared" si="62"/>
        <v>Low</v>
      </c>
      <c r="N830" t="str">
        <f t="shared" si="63"/>
        <v>PIP</v>
      </c>
      <c r="O830" t="str">
        <f t="shared" ca="1" si="64"/>
        <v>Not Eligible</v>
      </c>
    </row>
    <row r="831" spans="1:15" x14ac:dyDescent="0.25">
      <c r="A831" t="s">
        <v>40</v>
      </c>
      <c r="B831">
        <v>40</v>
      </c>
      <c r="C831">
        <v>55000</v>
      </c>
      <c r="D831" t="s">
        <v>14</v>
      </c>
      <c r="E831" t="s">
        <v>15</v>
      </c>
      <c r="F831" t="s">
        <v>11</v>
      </c>
      <c r="G831" s="1">
        <v>43192</v>
      </c>
      <c r="H831" s="1" t="s">
        <v>17</v>
      </c>
      <c r="I831" s="1" t="s">
        <v>18</v>
      </c>
      <c r="J831" s="1" t="s">
        <v>32</v>
      </c>
      <c r="K831" s="4">
        <f t="shared" ca="1" si="60"/>
        <v>8</v>
      </c>
      <c r="L831" t="str">
        <f t="shared" si="61"/>
        <v>Low</v>
      </c>
      <c r="M831" t="str">
        <f t="shared" si="62"/>
        <v>Low</v>
      </c>
      <c r="N831" t="str">
        <f t="shared" si="63"/>
        <v>PIP</v>
      </c>
      <c r="O831" t="str">
        <f t="shared" ca="1" si="64"/>
        <v>Not Eligible</v>
      </c>
    </row>
    <row r="832" spans="1:15" x14ac:dyDescent="0.25">
      <c r="A832" t="s">
        <v>34</v>
      </c>
      <c r="B832">
        <v>25</v>
      </c>
      <c r="C832">
        <v>60000</v>
      </c>
      <c r="D832" t="s">
        <v>26</v>
      </c>
      <c r="E832" t="s">
        <v>20</v>
      </c>
      <c r="F832" t="s">
        <v>11</v>
      </c>
      <c r="G832" s="1">
        <v>43192</v>
      </c>
      <c r="H832" s="1" t="s">
        <v>12</v>
      </c>
      <c r="I832" s="1" t="s">
        <v>13</v>
      </c>
      <c r="J832" s="1" t="s">
        <v>32</v>
      </c>
      <c r="K832" s="4">
        <f t="shared" ca="1" si="60"/>
        <v>8</v>
      </c>
      <c r="L832" t="str">
        <f t="shared" si="61"/>
        <v>Medium</v>
      </c>
      <c r="M832" t="str">
        <f t="shared" si="62"/>
        <v>Low</v>
      </c>
      <c r="N832" t="str">
        <f t="shared" si="63"/>
        <v>PIP</v>
      </c>
      <c r="O832" t="str">
        <f t="shared" ca="1" si="64"/>
        <v>Not Eligible</v>
      </c>
    </row>
    <row r="833" spans="1:15" x14ac:dyDescent="0.25">
      <c r="A833" t="s">
        <v>37</v>
      </c>
      <c r="B833">
        <v>25</v>
      </c>
      <c r="C833">
        <v>55000</v>
      </c>
      <c r="D833" t="s">
        <v>26</v>
      </c>
      <c r="E833" t="s">
        <v>10</v>
      </c>
      <c r="F833" t="s">
        <v>16</v>
      </c>
      <c r="G833" s="1">
        <v>43192</v>
      </c>
      <c r="H833" s="1" t="s">
        <v>29</v>
      </c>
      <c r="I833" s="1" t="s">
        <v>44</v>
      </c>
      <c r="J833" s="1" t="s">
        <v>22</v>
      </c>
      <c r="K833" s="4">
        <f t="shared" ca="1" si="60"/>
        <v>8</v>
      </c>
      <c r="L833" t="str">
        <f t="shared" si="61"/>
        <v>Low</v>
      </c>
      <c r="M833" t="str">
        <f t="shared" si="62"/>
        <v>Medium</v>
      </c>
      <c r="N833" t="str">
        <f t="shared" si="63"/>
        <v>No PIP</v>
      </c>
      <c r="O833" t="str">
        <f t="shared" ca="1" si="64"/>
        <v>Not Eligible</v>
      </c>
    </row>
    <row r="834" spans="1:15" x14ac:dyDescent="0.25">
      <c r="A834" t="s">
        <v>42</v>
      </c>
      <c r="B834">
        <v>35</v>
      </c>
      <c r="C834">
        <v>55000</v>
      </c>
      <c r="D834" t="s">
        <v>26</v>
      </c>
      <c r="E834" t="s">
        <v>20</v>
      </c>
      <c r="F834" t="s">
        <v>28</v>
      </c>
      <c r="G834" s="1">
        <v>43192</v>
      </c>
      <c r="H834" s="1" t="s">
        <v>12</v>
      </c>
      <c r="I834" s="1" t="s">
        <v>44</v>
      </c>
      <c r="J834" s="1" t="s">
        <v>22</v>
      </c>
      <c r="K834" s="4">
        <f t="shared" ca="1" si="60"/>
        <v>8</v>
      </c>
      <c r="L834" t="str">
        <f t="shared" si="61"/>
        <v>Low</v>
      </c>
      <c r="M834" t="str">
        <f t="shared" si="62"/>
        <v>Low</v>
      </c>
      <c r="N834" t="str">
        <f t="shared" si="63"/>
        <v>PIP</v>
      </c>
      <c r="O834" t="str">
        <f t="shared" ca="1" si="64"/>
        <v>Not Eligible</v>
      </c>
    </row>
    <row r="835" spans="1:15" x14ac:dyDescent="0.25">
      <c r="A835" t="s">
        <v>41</v>
      </c>
      <c r="B835">
        <v>25</v>
      </c>
      <c r="C835">
        <v>65000</v>
      </c>
      <c r="D835" t="s">
        <v>9</v>
      </c>
      <c r="E835" t="s">
        <v>15</v>
      </c>
      <c r="F835" t="s">
        <v>16</v>
      </c>
      <c r="G835" s="1">
        <v>43192</v>
      </c>
      <c r="H835" s="1" t="s">
        <v>12</v>
      </c>
      <c r="I835" s="1" t="s">
        <v>18</v>
      </c>
      <c r="J835" s="1" t="s">
        <v>19</v>
      </c>
      <c r="K835" s="4">
        <f t="shared" ref="K835:K898" ca="1" si="65">ROUND((TODAY()-G835)/365,1)</f>
        <v>8</v>
      </c>
      <c r="L835" t="str">
        <f t="shared" ref="L835:L898" si="66">IF(C835&lt;60000,"Low", IF(C835&lt;65000,"Medium","High"))</f>
        <v>High</v>
      </c>
      <c r="M835" t="str">
        <f t="shared" ref="M835:M898" si="67">IF(H835="A","High",IF(OR(H835="B",H835="C"),"Medium","Low"))</f>
        <v>Low</v>
      </c>
      <c r="N835" t="str">
        <f t="shared" ref="N835:N898" si="68">IF(M835="Low","PIP","No PIP")</f>
        <v>PIP</v>
      </c>
      <c r="O835" t="str">
        <f t="shared" ref="O835:O898" ca="1" si="69">IF(AND(M835="High",K835&gt;3),"Eligible","Not Eligible")</f>
        <v>Not Eligible</v>
      </c>
    </row>
    <row r="836" spans="1:15" x14ac:dyDescent="0.25">
      <c r="A836" t="s">
        <v>33</v>
      </c>
      <c r="B836">
        <v>50</v>
      </c>
      <c r="C836">
        <v>70000</v>
      </c>
      <c r="D836" t="s">
        <v>14</v>
      </c>
      <c r="E836" t="s">
        <v>27</v>
      </c>
      <c r="F836" t="s">
        <v>28</v>
      </c>
      <c r="G836" s="1">
        <v>43192</v>
      </c>
      <c r="H836" s="1" t="s">
        <v>21</v>
      </c>
      <c r="I836" s="1" t="s">
        <v>44</v>
      </c>
      <c r="J836" s="1" t="s">
        <v>22</v>
      </c>
      <c r="K836" s="4">
        <f t="shared" ca="1" si="65"/>
        <v>8</v>
      </c>
      <c r="L836" t="str">
        <f t="shared" si="66"/>
        <v>High</v>
      </c>
      <c r="M836" t="str">
        <f t="shared" si="67"/>
        <v>Medium</v>
      </c>
      <c r="N836" t="str">
        <f t="shared" si="68"/>
        <v>No PIP</v>
      </c>
      <c r="O836" t="str">
        <f t="shared" ca="1" si="69"/>
        <v>Not Eligible</v>
      </c>
    </row>
    <row r="837" spans="1:15" x14ac:dyDescent="0.25">
      <c r="A837" t="s">
        <v>42</v>
      </c>
      <c r="B837">
        <v>35</v>
      </c>
      <c r="C837">
        <v>60000</v>
      </c>
      <c r="D837" t="s">
        <v>26</v>
      </c>
      <c r="E837" t="s">
        <v>23</v>
      </c>
      <c r="F837" t="s">
        <v>30</v>
      </c>
      <c r="G837" s="1">
        <v>43192</v>
      </c>
      <c r="H837" s="1" t="s">
        <v>29</v>
      </c>
      <c r="I837" s="1" t="s">
        <v>18</v>
      </c>
      <c r="J837" s="1" t="s">
        <v>22</v>
      </c>
      <c r="K837" s="4">
        <f t="shared" ca="1" si="65"/>
        <v>8</v>
      </c>
      <c r="L837" t="str">
        <f t="shared" si="66"/>
        <v>Medium</v>
      </c>
      <c r="M837" t="str">
        <f t="shared" si="67"/>
        <v>Medium</v>
      </c>
      <c r="N837" t="str">
        <f t="shared" si="68"/>
        <v>No PIP</v>
      </c>
      <c r="O837" t="str">
        <f t="shared" ca="1" si="69"/>
        <v>Not Eligible</v>
      </c>
    </row>
    <row r="838" spans="1:15" x14ac:dyDescent="0.25">
      <c r="A838" t="s">
        <v>35</v>
      </c>
      <c r="B838">
        <v>30</v>
      </c>
      <c r="C838">
        <v>60000</v>
      </c>
      <c r="D838" t="s">
        <v>9</v>
      </c>
      <c r="E838" t="s">
        <v>27</v>
      </c>
      <c r="F838" t="s">
        <v>30</v>
      </c>
      <c r="G838" s="1">
        <v>43192</v>
      </c>
      <c r="H838" s="1" t="s">
        <v>12</v>
      </c>
      <c r="I838" s="1" t="s">
        <v>25</v>
      </c>
      <c r="J838" s="1" t="s">
        <v>22</v>
      </c>
      <c r="K838" s="4">
        <f t="shared" ca="1" si="65"/>
        <v>8</v>
      </c>
      <c r="L838" t="str">
        <f t="shared" si="66"/>
        <v>Medium</v>
      </c>
      <c r="M838" t="str">
        <f t="shared" si="67"/>
        <v>Low</v>
      </c>
      <c r="N838" t="str">
        <f t="shared" si="68"/>
        <v>PIP</v>
      </c>
      <c r="O838" t="str">
        <f t="shared" ca="1" si="69"/>
        <v>Not Eligible</v>
      </c>
    </row>
    <row r="839" spans="1:15" x14ac:dyDescent="0.25">
      <c r="A839" t="s">
        <v>37</v>
      </c>
      <c r="B839">
        <v>30</v>
      </c>
      <c r="C839">
        <v>60216</v>
      </c>
      <c r="D839" t="s">
        <v>26</v>
      </c>
      <c r="E839" t="s">
        <v>10</v>
      </c>
      <c r="F839" t="s">
        <v>16</v>
      </c>
      <c r="G839" s="1">
        <v>43192</v>
      </c>
      <c r="H839" s="1" t="s">
        <v>21</v>
      </c>
      <c r="I839" s="1" t="s">
        <v>18</v>
      </c>
      <c r="J839" s="1" t="s">
        <v>22</v>
      </c>
      <c r="K839" s="4">
        <f t="shared" ca="1" si="65"/>
        <v>8</v>
      </c>
      <c r="L839" t="str">
        <f t="shared" si="66"/>
        <v>Medium</v>
      </c>
      <c r="M839" t="str">
        <f t="shared" si="67"/>
        <v>Medium</v>
      </c>
      <c r="N839" t="str">
        <f t="shared" si="68"/>
        <v>No PIP</v>
      </c>
      <c r="O839" t="str">
        <f t="shared" ca="1" si="69"/>
        <v>Not Eligible</v>
      </c>
    </row>
    <row r="840" spans="1:15" x14ac:dyDescent="0.25">
      <c r="A840" t="s">
        <v>42</v>
      </c>
      <c r="B840">
        <v>50</v>
      </c>
      <c r="C840">
        <v>65000</v>
      </c>
      <c r="D840" t="s">
        <v>14</v>
      </c>
      <c r="E840" t="s">
        <v>20</v>
      </c>
      <c r="F840" t="s">
        <v>16</v>
      </c>
      <c r="G840" s="1">
        <v>43192</v>
      </c>
      <c r="H840" s="1" t="s">
        <v>29</v>
      </c>
      <c r="I840" s="1" t="s">
        <v>13</v>
      </c>
      <c r="J840" s="1" t="s">
        <v>44</v>
      </c>
      <c r="K840" s="4">
        <f t="shared" ca="1" si="65"/>
        <v>8</v>
      </c>
      <c r="L840" t="str">
        <f t="shared" si="66"/>
        <v>High</v>
      </c>
      <c r="M840" t="str">
        <f t="shared" si="67"/>
        <v>Medium</v>
      </c>
      <c r="N840" t="str">
        <f t="shared" si="68"/>
        <v>No PIP</v>
      </c>
      <c r="O840" t="str">
        <f t="shared" ca="1" si="69"/>
        <v>Not Eligible</v>
      </c>
    </row>
    <row r="841" spans="1:15" x14ac:dyDescent="0.25">
      <c r="A841" t="s">
        <v>37</v>
      </c>
      <c r="B841">
        <v>35</v>
      </c>
      <c r="C841">
        <v>55000</v>
      </c>
      <c r="D841" t="s">
        <v>14</v>
      </c>
      <c r="E841" t="s">
        <v>15</v>
      </c>
      <c r="F841" t="s">
        <v>11</v>
      </c>
      <c r="G841" s="1">
        <v>43192</v>
      </c>
      <c r="H841" s="1" t="s">
        <v>17</v>
      </c>
      <c r="I841" s="1" t="s">
        <v>18</v>
      </c>
      <c r="J841" s="1" t="s">
        <v>19</v>
      </c>
      <c r="K841" s="4">
        <f t="shared" ca="1" si="65"/>
        <v>8</v>
      </c>
      <c r="L841" t="str">
        <f t="shared" si="66"/>
        <v>Low</v>
      </c>
      <c r="M841" t="str">
        <f t="shared" si="67"/>
        <v>Low</v>
      </c>
      <c r="N841" t="str">
        <f t="shared" si="68"/>
        <v>PIP</v>
      </c>
      <c r="O841" t="str">
        <f t="shared" ca="1" si="69"/>
        <v>Not Eligible</v>
      </c>
    </row>
    <row r="842" spans="1:15" x14ac:dyDescent="0.25">
      <c r="A842" t="s">
        <v>33</v>
      </c>
      <c r="B842">
        <v>50</v>
      </c>
      <c r="C842">
        <v>65000</v>
      </c>
      <c r="D842" t="s">
        <v>26</v>
      </c>
      <c r="E842" t="s">
        <v>15</v>
      </c>
      <c r="F842" t="s">
        <v>31</v>
      </c>
      <c r="G842" s="1">
        <v>43192</v>
      </c>
      <c r="H842" s="1" t="s">
        <v>17</v>
      </c>
      <c r="I842" s="1" t="s">
        <v>13</v>
      </c>
      <c r="J842" s="1" t="s">
        <v>19</v>
      </c>
      <c r="K842" s="4">
        <f t="shared" ca="1" si="65"/>
        <v>8</v>
      </c>
      <c r="L842" t="str">
        <f t="shared" si="66"/>
        <v>High</v>
      </c>
      <c r="M842" t="str">
        <f t="shared" si="67"/>
        <v>Low</v>
      </c>
      <c r="N842" t="str">
        <f t="shared" si="68"/>
        <v>PIP</v>
      </c>
      <c r="O842" t="str">
        <f t="shared" ca="1" si="69"/>
        <v>Not Eligible</v>
      </c>
    </row>
    <row r="843" spans="1:15" x14ac:dyDescent="0.25">
      <c r="A843" t="s">
        <v>42</v>
      </c>
      <c r="B843">
        <v>50</v>
      </c>
      <c r="C843">
        <v>65000</v>
      </c>
      <c r="D843" t="s">
        <v>9</v>
      </c>
      <c r="E843" t="s">
        <v>23</v>
      </c>
      <c r="F843" t="s">
        <v>16</v>
      </c>
      <c r="G843" s="1">
        <v>43192</v>
      </c>
      <c r="H843" s="1" t="s">
        <v>24</v>
      </c>
      <c r="I843" s="1" t="s">
        <v>44</v>
      </c>
      <c r="J843" s="1" t="s">
        <v>19</v>
      </c>
      <c r="K843" s="4">
        <f t="shared" ca="1" si="65"/>
        <v>8</v>
      </c>
      <c r="L843" t="str">
        <f t="shared" si="66"/>
        <v>High</v>
      </c>
      <c r="M843" t="str">
        <f t="shared" si="67"/>
        <v>High</v>
      </c>
      <c r="N843" t="str">
        <f t="shared" si="68"/>
        <v>No PIP</v>
      </c>
      <c r="O843" t="str">
        <f t="shared" ca="1" si="69"/>
        <v>Eligible</v>
      </c>
    </row>
    <row r="844" spans="1:15" x14ac:dyDescent="0.25">
      <c r="A844" t="s">
        <v>38</v>
      </c>
      <c r="B844">
        <v>30</v>
      </c>
      <c r="C844">
        <v>70000</v>
      </c>
      <c r="D844" t="s">
        <v>9</v>
      </c>
      <c r="E844" t="s">
        <v>15</v>
      </c>
      <c r="F844" t="s">
        <v>11</v>
      </c>
      <c r="G844" s="1">
        <v>43192</v>
      </c>
      <c r="H844" s="1" t="s">
        <v>29</v>
      </c>
      <c r="I844" s="1" t="s">
        <v>18</v>
      </c>
      <c r="J844" s="1" t="s">
        <v>32</v>
      </c>
      <c r="K844" s="4">
        <f t="shared" ca="1" si="65"/>
        <v>8</v>
      </c>
      <c r="L844" t="str">
        <f t="shared" si="66"/>
        <v>High</v>
      </c>
      <c r="M844" t="str">
        <f t="shared" si="67"/>
        <v>Medium</v>
      </c>
      <c r="N844" t="str">
        <f t="shared" si="68"/>
        <v>No PIP</v>
      </c>
      <c r="O844" t="str">
        <f t="shared" ca="1" si="69"/>
        <v>Not Eligible</v>
      </c>
    </row>
    <row r="845" spans="1:15" x14ac:dyDescent="0.25">
      <c r="A845" t="s">
        <v>37</v>
      </c>
      <c r="B845">
        <v>30</v>
      </c>
      <c r="C845">
        <v>60000</v>
      </c>
      <c r="D845" t="s">
        <v>26</v>
      </c>
      <c r="E845" t="s">
        <v>20</v>
      </c>
      <c r="F845" t="s">
        <v>30</v>
      </c>
      <c r="G845" s="1">
        <v>43192</v>
      </c>
      <c r="H845" s="1" t="s">
        <v>17</v>
      </c>
      <c r="I845" s="1" t="s">
        <v>13</v>
      </c>
      <c r="J845" s="1" t="s">
        <v>44</v>
      </c>
      <c r="K845" s="4">
        <f t="shared" ca="1" si="65"/>
        <v>8</v>
      </c>
      <c r="L845" t="str">
        <f t="shared" si="66"/>
        <v>Medium</v>
      </c>
      <c r="M845" t="str">
        <f t="shared" si="67"/>
        <v>Low</v>
      </c>
      <c r="N845" t="str">
        <f t="shared" si="68"/>
        <v>PIP</v>
      </c>
      <c r="O845" t="str">
        <f t="shared" ca="1" si="69"/>
        <v>Not Eligible</v>
      </c>
    </row>
    <row r="846" spans="1:15" x14ac:dyDescent="0.25">
      <c r="A846" t="s">
        <v>39</v>
      </c>
      <c r="B846">
        <v>35</v>
      </c>
      <c r="C846">
        <v>50000</v>
      </c>
      <c r="D846" t="s">
        <v>14</v>
      </c>
      <c r="E846" t="s">
        <v>15</v>
      </c>
      <c r="F846" t="s">
        <v>31</v>
      </c>
      <c r="G846" s="1">
        <v>43192</v>
      </c>
      <c r="H846" s="1" t="s">
        <v>24</v>
      </c>
      <c r="I846" s="1" t="s">
        <v>25</v>
      </c>
      <c r="J846" s="1" t="s">
        <v>44</v>
      </c>
      <c r="K846" s="4">
        <f t="shared" ca="1" si="65"/>
        <v>8</v>
      </c>
      <c r="L846" t="str">
        <f t="shared" si="66"/>
        <v>Low</v>
      </c>
      <c r="M846" t="str">
        <f t="shared" si="67"/>
        <v>High</v>
      </c>
      <c r="N846" t="str">
        <f t="shared" si="68"/>
        <v>No PIP</v>
      </c>
      <c r="O846" t="str">
        <f t="shared" ca="1" si="69"/>
        <v>Eligible</v>
      </c>
    </row>
    <row r="847" spans="1:15" x14ac:dyDescent="0.25">
      <c r="A847" t="s">
        <v>36</v>
      </c>
      <c r="B847">
        <v>50</v>
      </c>
      <c r="C847">
        <v>70000</v>
      </c>
      <c r="D847" t="s">
        <v>26</v>
      </c>
      <c r="E847" t="s">
        <v>27</v>
      </c>
      <c r="F847" t="s">
        <v>28</v>
      </c>
      <c r="G847" s="1">
        <v>43192</v>
      </c>
      <c r="H847" s="1" t="s">
        <v>29</v>
      </c>
      <c r="I847" s="1" t="s">
        <v>25</v>
      </c>
      <c r="J847" s="1" t="s">
        <v>44</v>
      </c>
      <c r="K847" s="4">
        <f t="shared" ca="1" si="65"/>
        <v>8</v>
      </c>
      <c r="L847" t="str">
        <f t="shared" si="66"/>
        <v>High</v>
      </c>
      <c r="M847" t="str">
        <f t="shared" si="67"/>
        <v>Medium</v>
      </c>
      <c r="N847" t="str">
        <f t="shared" si="68"/>
        <v>No PIP</v>
      </c>
      <c r="O847" t="str">
        <f t="shared" ca="1" si="69"/>
        <v>Not Eligible</v>
      </c>
    </row>
    <row r="848" spans="1:15" x14ac:dyDescent="0.25">
      <c r="A848" t="s">
        <v>41</v>
      </c>
      <c r="B848">
        <v>35</v>
      </c>
      <c r="C848">
        <v>50000</v>
      </c>
      <c r="D848" t="s">
        <v>26</v>
      </c>
      <c r="E848" t="s">
        <v>27</v>
      </c>
      <c r="F848" t="s">
        <v>16</v>
      </c>
      <c r="G848" s="1">
        <v>43192</v>
      </c>
      <c r="H848" s="1" t="s">
        <v>12</v>
      </c>
      <c r="I848" s="1" t="s">
        <v>44</v>
      </c>
      <c r="J848" s="1" t="s">
        <v>44</v>
      </c>
      <c r="K848" s="4">
        <f t="shared" ca="1" si="65"/>
        <v>8</v>
      </c>
      <c r="L848" t="str">
        <f t="shared" si="66"/>
        <v>Low</v>
      </c>
      <c r="M848" t="str">
        <f t="shared" si="67"/>
        <v>Low</v>
      </c>
      <c r="N848" t="str">
        <f t="shared" si="68"/>
        <v>PIP</v>
      </c>
      <c r="O848" t="str">
        <f t="shared" ca="1" si="69"/>
        <v>Not Eligible</v>
      </c>
    </row>
    <row r="849" spans="1:15" x14ac:dyDescent="0.25">
      <c r="A849" t="s">
        <v>40</v>
      </c>
      <c r="B849">
        <v>50</v>
      </c>
      <c r="C849">
        <v>55000</v>
      </c>
      <c r="D849" t="s">
        <v>14</v>
      </c>
      <c r="E849" t="s">
        <v>10</v>
      </c>
      <c r="F849" t="s">
        <v>28</v>
      </c>
      <c r="G849" s="1">
        <v>43192</v>
      </c>
      <c r="H849" s="1" t="s">
        <v>17</v>
      </c>
      <c r="I849" s="1" t="s">
        <v>18</v>
      </c>
      <c r="J849" s="1" t="s">
        <v>22</v>
      </c>
      <c r="K849" s="4">
        <f t="shared" ca="1" si="65"/>
        <v>8</v>
      </c>
      <c r="L849" t="str">
        <f t="shared" si="66"/>
        <v>Low</v>
      </c>
      <c r="M849" t="str">
        <f t="shared" si="67"/>
        <v>Low</v>
      </c>
      <c r="N849" t="str">
        <f t="shared" si="68"/>
        <v>PIP</v>
      </c>
      <c r="O849" t="str">
        <f t="shared" ca="1" si="69"/>
        <v>Not Eligible</v>
      </c>
    </row>
    <row r="850" spans="1:15" x14ac:dyDescent="0.25">
      <c r="A850" t="s">
        <v>34</v>
      </c>
      <c r="B850">
        <v>35</v>
      </c>
      <c r="C850">
        <v>70000</v>
      </c>
      <c r="D850" t="s">
        <v>14</v>
      </c>
      <c r="E850" t="s">
        <v>20</v>
      </c>
      <c r="F850" t="s">
        <v>16</v>
      </c>
      <c r="G850" s="1">
        <v>43192</v>
      </c>
      <c r="H850" s="1" t="s">
        <v>12</v>
      </c>
      <c r="I850" s="1" t="s">
        <v>44</v>
      </c>
      <c r="J850" s="1" t="s">
        <v>32</v>
      </c>
      <c r="K850" s="4">
        <f t="shared" ca="1" si="65"/>
        <v>8</v>
      </c>
      <c r="L850" t="str">
        <f t="shared" si="66"/>
        <v>High</v>
      </c>
      <c r="M850" t="str">
        <f t="shared" si="67"/>
        <v>Low</v>
      </c>
      <c r="N850" t="str">
        <f t="shared" si="68"/>
        <v>PIP</v>
      </c>
      <c r="O850" t="str">
        <f t="shared" ca="1" si="69"/>
        <v>Not Eligible</v>
      </c>
    </row>
    <row r="851" spans="1:15" x14ac:dyDescent="0.25">
      <c r="A851" t="s">
        <v>39</v>
      </c>
      <c r="B851">
        <v>30</v>
      </c>
      <c r="C851">
        <v>55000</v>
      </c>
      <c r="D851" t="s">
        <v>9</v>
      </c>
      <c r="E851" t="s">
        <v>10</v>
      </c>
      <c r="F851" t="s">
        <v>31</v>
      </c>
      <c r="G851" s="1">
        <v>43192</v>
      </c>
      <c r="H851" s="1" t="s">
        <v>17</v>
      </c>
      <c r="I851" s="1" t="s">
        <v>25</v>
      </c>
      <c r="J851" s="1" t="s">
        <v>44</v>
      </c>
      <c r="K851" s="4">
        <f t="shared" ca="1" si="65"/>
        <v>8</v>
      </c>
      <c r="L851" t="str">
        <f t="shared" si="66"/>
        <v>Low</v>
      </c>
      <c r="M851" t="str">
        <f t="shared" si="67"/>
        <v>Low</v>
      </c>
      <c r="N851" t="str">
        <f t="shared" si="68"/>
        <v>PIP</v>
      </c>
      <c r="O851" t="str">
        <f t="shared" ca="1" si="69"/>
        <v>Not Eligible</v>
      </c>
    </row>
    <row r="852" spans="1:15" x14ac:dyDescent="0.25">
      <c r="A852" t="s">
        <v>34</v>
      </c>
      <c r="B852">
        <v>25</v>
      </c>
      <c r="C852">
        <v>70000</v>
      </c>
      <c r="D852" t="s">
        <v>26</v>
      </c>
      <c r="E852" t="s">
        <v>20</v>
      </c>
      <c r="F852" t="s">
        <v>30</v>
      </c>
      <c r="G852" s="1">
        <v>43192</v>
      </c>
      <c r="H852" s="1" t="s">
        <v>17</v>
      </c>
      <c r="I852" s="1" t="s">
        <v>25</v>
      </c>
      <c r="J852" s="1" t="s">
        <v>44</v>
      </c>
      <c r="K852" s="4">
        <f t="shared" ca="1" si="65"/>
        <v>8</v>
      </c>
      <c r="L852" t="str">
        <f t="shared" si="66"/>
        <v>High</v>
      </c>
      <c r="M852" t="str">
        <f t="shared" si="67"/>
        <v>Low</v>
      </c>
      <c r="N852" t="str">
        <f t="shared" si="68"/>
        <v>PIP</v>
      </c>
      <c r="O852" t="str">
        <f t="shared" ca="1" si="69"/>
        <v>Not Eligible</v>
      </c>
    </row>
    <row r="853" spans="1:15" x14ac:dyDescent="0.25">
      <c r="A853" t="s">
        <v>42</v>
      </c>
      <c r="B853">
        <v>35</v>
      </c>
      <c r="C853">
        <v>55000</v>
      </c>
      <c r="D853" t="s">
        <v>9</v>
      </c>
      <c r="E853" t="s">
        <v>23</v>
      </c>
      <c r="F853" t="s">
        <v>31</v>
      </c>
      <c r="G853" s="1">
        <v>43192</v>
      </c>
      <c r="H853" s="1" t="s">
        <v>29</v>
      </c>
      <c r="I853" s="1" t="s">
        <v>25</v>
      </c>
      <c r="J853" s="1" t="s">
        <v>19</v>
      </c>
      <c r="K853" s="4">
        <f t="shared" ca="1" si="65"/>
        <v>8</v>
      </c>
      <c r="L853" t="str">
        <f t="shared" si="66"/>
        <v>Low</v>
      </c>
      <c r="M853" t="str">
        <f t="shared" si="67"/>
        <v>Medium</v>
      </c>
      <c r="N853" t="str">
        <f t="shared" si="68"/>
        <v>No PIP</v>
      </c>
      <c r="O853" t="str">
        <f t="shared" ca="1" si="69"/>
        <v>Not Eligible</v>
      </c>
    </row>
    <row r="854" spans="1:15" x14ac:dyDescent="0.25">
      <c r="A854" t="s">
        <v>33</v>
      </c>
      <c r="B854">
        <v>30</v>
      </c>
      <c r="C854">
        <v>55000</v>
      </c>
      <c r="D854" t="s">
        <v>14</v>
      </c>
      <c r="E854" t="s">
        <v>10</v>
      </c>
      <c r="F854" t="s">
        <v>16</v>
      </c>
      <c r="G854" s="1">
        <v>43192</v>
      </c>
      <c r="H854" s="1" t="s">
        <v>17</v>
      </c>
      <c r="I854" s="1" t="s">
        <v>13</v>
      </c>
      <c r="J854" s="1" t="s">
        <v>44</v>
      </c>
      <c r="K854" s="4">
        <f t="shared" ca="1" si="65"/>
        <v>8</v>
      </c>
      <c r="L854" t="str">
        <f t="shared" si="66"/>
        <v>Low</v>
      </c>
      <c r="M854" t="str">
        <f t="shared" si="67"/>
        <v>Low</v>
      </c>
      <c r="N854" t="str">
        <f t="shared" si="68"/>
        <v>PIP</v>
      </c>
      <c r="O854" t="str">
        <f t="shared" ca="1" si="69"/>
        <v>Not Eligible</v>
      </c>
    </row>
    <row r="855" spans="1:15" x14ac:dyDescent="0.25">
      <c r="A855" t="s">
        <v>35</v>
      </c>
      <c r="B855">
        <v>40</v>
      </c>
      <c r="C855">
        <v>55000</v>
      </c>
      <c r="D855" t="s">
        <v>14</v>
      </c>
      <c r="E855" t="s">
        <v>10</v>
      </c>
      <c r="F855" t="s">
        <v>31</v>
      </c>
      <c r="G855" s="1">
        <v>43192</v>
      </c>
      <c r="H855" s="1" t="s">
        <v>21</v>
      </c>
      <c r="I855" s="1" t="s">
        <v>18</v>
      </c>
      <c r="J855" s="1" t="s">
        <v>44</v>
      </c>
      <c r="K855" s="4">
        <f t="shared" ca="1" si="65"/>
        <v>8</v>
      </c>
      <c r="L855" t="str">
        <f t="shared" si="66"/>
        <v>Low</v>
      </c>
      <c r="M855" t="str">
        <f t="shared" si="67"/>
        <v>Medium</v>
      </c>
      <c r="N855" t="str">
        <f t="shared" si="68"/>
        <v>No PIP</v>
      </c>
      <c r="O855" t="str">
        <f t="shared" ca="1" si="69"/>
        <v>Not Eligible</v>
      </c>
    </row>
    <row r="856" spans="1:15" x14ac:dyDescent="0.25">
      <c r="A856" t="s">
        <v>42</v>
      </c>
      <c r="B856">
        <v>30</v>
      </c>
      <c r="C856">
        <v>65000</v>
      </c>
      <c r="D856" t="s">
        <v>14</v>
      </c>
      <c r="E856" t="s">
        <v>10</v>
      </c>
      <c r="F856" t="s">
        <v>28</v>
      </c>
      <c r="G856" s="1">
        <v>43192</v>
      </c>
      <c r="H856" s="1" t="s">
        <v>12</v>
      </c>
      <c r="I856" s="1" t="s">
        <v>44</v>
      </c>
      <c r="J856" s="1" t="s">
        <v>19</v>
      </c>
      <c r="K856" s="4">
        <f t="shared" ca="1" si="65"/>
        <v>8</v>
      </c>
      <c r="L856" t="str">
        <f t="shared" si="66"/>
        <v>High</v>
      </c>
      <c r="M856" t="str">
        <f t="shared" si="67"/>
        <v>Low</v>
      </c>
      <c r="N856" t="str">
        <f t="shared" si="68"/>
        <v>PIP</v>
      </c>
      <c r="O856" t="str">
        <f t="shared" ca="1" si="69"/>
        <v>Not Eligible</v>
      </c>
    </row>
    <row r="857" spans="1:15" x14ac:dyDescent="0.25">
      <c r="A857" t="s">
        <v>33</v>
      </c>
      <c r="B857">
        <v>40</v>
      </c>
      <c r="C857">
        <v>50000</v>
      </c>
      <c r="D857" t="s">
        <v>9</v>
      </c>
      <c r="E857" t="s">
        <v>23</v>
      </c>
      <c r="F857" t="s">
        <v>30</v>
      </c>
      <c r="G857" s="1">
        <v>43192</v>
      </c>
      <c r="H857" s="1" t="s">
        <v>24</v>
      </c>
      <c r="I857" s="1" t="s">
        <v>44</v>
      </c>
      <c r="J857" s="1" t="s">
        <v>19</v>
      </c>
      <c r="K857" s="4">
        <f t="shared" ca="1" si="65"/>
        <v>8</v>
      </c>
      <c r="L857" t="str">
        <f t="shared" si="66"/>
        <v>Low</v>
      </c>
      <c r="M857" t="str">
        <f t="shared" si="67"/>
        <v>High</v>
      </c>
      <c r="N857" t="str">
        <f t="shared" si="68"/>
        <v>No PIP</v>
      </c>
      <c r="O857" t="str">
        <f t="shared" ca="1" si="69"/>
        <v>Eligible</v>
      </c>
    </row>
    <row r="858" spans="1:15" x14ac:dyDescent="0.25">
      <c r="A858" t="s">
        <v>38</v>
      </c>
      <c r="B858">
        <v>50</v>
      </c>
      <c r="C858">
        <v>60000</v>
      </c>
      <c r="D858" t="s">
        <v>26</v>
      </c>
      <c r="E858" t="s">
        <v>10</v>
      </c>
      <c r="F858" t="s">
        <v>31</v>
      </c>
      <c r="G858" s="1">
        <v>43192</v>
      </c>
      <c r="H858" s="1" t="s">
        <v>24</v>
      </c>
      <c r="I858" s="1" t="s">
        <v>18</v>
      </c>
      <c r="J858" s="1" t="s">
        <v>44</v>
      </c>
      <c r="K858" s="4">
        <f t="shared" ca="1" si="65"/>
        <v>8</v>
      </c>
      <c r="L858" t="str">
        <f t="shared" si="66"/>
        <v>Medium</v>
      </c>
      <c r="M858" t="str">
        <f t="shared" si="67"/>
        <v>High</v>
      </c>
      <c r="N858" t="str">
        <f t="shared" si="68"/>
        <v>No PIP</v>
      </c>
      <c r="O858" t="str">
        <f t="shared" ca="1" si="69"/>
        <v>Eligible</v>
      </c>
    </row>
    <row r="859" spans="1:15" x14ac:dyDescent="0.25">
      <c r="A859" t="s">
        <v>36</v>
      </c>
      <c r="B859">
        <v>40</v>
      </c>
      <c r="C859">
        <v>50000</v>
      </c>
      <c r="D859" t="s">
        <v>26</v>
      </c>
      <c r="E859" t="s">
        <v>20</v>
      </c>
      <c r="F859" t="s">
        <v>30</v>
      </c>
      <c r="G859" s="1">
        <v>43192</v>
      </c>
      <c r="H859" s="1" t="s">
        <v>21</v>
      </c>
      <c r="I859" s="1" t="s">
        <v>25</v>
      </c>
      <c r="J859" s="1" t="s">
        <v>44</v>
      </c>
      <c r="K859" s="4">
        <f t="shared" ca="1" si="65"/>
        <v>8</v>
      </c>
      <c r="L859" t="str">
        <f t="shared" si="66"/>
        <v>Low</v>
      </c>
      <c r="M859" t="str">
        <f t="shared" si="67"/>
        <v>Medium</v>
      </c>
      <c r="N859" t="str">
        <f t="shared" si="68"/>
        <v>No PIP</v>
      </c>
      <c r="O859" t="str">
        <f t="shared" ca="1" si="69"/>
        <v>Not Eligible</v>
      </c>
    </row>
    <row r="860" spans="1:15" x14ac:dyDescent="0.25">
      <c r="A860" t="s">
        <v>36</v>
      </c>
      <c r="B860">
        <v>25</v>
      </c>
      <c r="C860">
        <v>65000</v>
      </c>
      <c r="D860" t="s">
        <v>26</v>
      </c>
      <c r="E860" t="s">
        <v>10</v>
      </c>
      <c r="F860" t="s">
        <v>11</v>
      </c>
      <c r="G860" s="1">
        <v>43192</v>
      </c>
      <c r="H860" s="1" t="s">
        <v>12</v>
      </c>
      <c r="I860" s="1" t="s">
        <v>44</v>
      </c>
      <c r="J860" s="1" t="s">
        <v>32</v>
      </c>
      <c r="K860" s="4">
        <f t="shared" ca="1" si="65"/>
        <v>8</v>
      </c>
      <c r="L860" t="str">
        <f t="shared" si="66"/>
        <v>High</v>
      </c>
      <c r="M860" t="str">
        <f t="shared" si="67"/>
        <v>Low</v>
      </c>
      <c r="N860" t="str">
        <f t="shared" si="68"/>
        <v>PIP</v>
      </c>
      <c r="O860" t="str">
        <f t="shared" ca="1" si="69"/>
        <v>Not Eligible</v>
      </c>
    </row>
    <row r="861" spans="1:15" x14ac:dyDescent="0.25">
      <c r="A861" t="s">
        <v>34</v>
      </c>
      <c r="B861">
        <v>35</v>
      </c>
      <c r="C861">
        <v>60216</v>
      </c>
      <c r="D861" t="s">
        <v>9</v>
      </c>
      <c r="E861" t="s">
        <v>10</v>
      </c>
      <c r="F861" t="s">
        <v>16</v>
      </c>
      <c r="G861" s="1">
        <v>43192</v>
      </c>
      <c r="H861" s="1" t="s">
        <v>29</v>
      </c>
      <c r="I861" s="1" t="s">
        <v>13</v>
      </c>
      <c r="J861" s="1" t="s">
        <v>44</v>
      </c>
      <c r="K861" s="4">
        <f t="shared" ca="1" si="65"/>
        <v>8</v>
      </c>
      <c r="L861" t="str">
        <f t="shared" si="66"/>
        <v>Medium</v>
      </c>
      <c r="M861" t="str">
        <f t="shared" si="67"/>
        <v>Medium</v>
      </c>
      <c r="N861" t="str">
        <f t="shared" si="68"/>
        <v>No PIP</v>
      </c>
      <c r="O861" t="str">
        <f t="shared" ca="1" si="69"/>
        <v>Not Eligible</v>
      </c>
    </row>
    <row r="862" spans="1:15" x14ac:dyDescent="0.25">
      <c r="A862" t="s">
        <v>41</v>
      </c>
      <c r="B862">
        <v>35</v>
      </c>
      <c r="C862">
        <v>60000</v>
      </c>
      <c r="D862" t="s">
        <v>26</v>
      </c>
      <c r="E862" t="s">
        <v>27</v>
      </c>
      <c r="F862" t="s">
        <v>31</v>
      </c>
      <c r="G862" s="1">
        <v>43192</v>
      </c>
      <c r="H862" s="1" t="s">
        <v>24</v>
      </c>
      <c r="I862" s="1" t="s">
        <v>44</v>
      </c>
      <c r="J862" s="1" t="s">
        <v>44</v>
      </c>
      <c r="K862" s="4">
        <f t="shared" ca="1" si="65"/>
        <v>8</v>
      </c>
      <c r="L862" t="str">
        <f t="shared" si="66"/>
        <v>Medium</v>
      </c>
      <c r="M862" t="str">
        <f t="shared" si="67"/>
        <v>High</v>
      </c>
      <c r="N862" t="str">
        <f t="shared" si="68"/>
        <v>No PIP</v>
      </c>
      <c r="O862" t="str">
        <f t="shared" ca="1" si="69"/>
        <v>Eligible</v>
      </c>
    </row>
    <row r="863" spans="1:15" x14ac:dyDescent="0.25">
      <c r="A863" t="s">
        <v>35</v>
      </c>
      <c r="B863">
        <v>35</v>
      </c>
      <c r="C863">
        <v>65000</v>
      </c>
      <c r="D863" t="s">
        <v>9</v>
      </c>
      <c r="E863" t="s">
        <v>15</v>
      </c>
      <c r="F863" t="s">
        <v>28</v>
      </c>
      <c r="G863" s="1">
        <v>43192</v>
      </c>
      <c r="H863" s="1" t="s">
        <v>17</v>
      </c>
      <c r="I863" s="1" t="s">
        <v>13</v>
      </c>
      <c r="J863" s="1" t="s">
        <v>44</v>
      </c>
      <c r="K863" s="4">
        <f t="shared" ca="1" si="65"/>
        <v>8</v>
      </c>
      <c r="L863" t="str">
        <f t="shared" si="66"/>
        <v>High</v>
      </c>
      <c r="M863" t="str">
        <f t="shared" si="67"/>
        <v>Low</v>
      </c>
      <c r="N863" t="str">
        <f t="shared" si="68"/>
        <v>PIP</v>
      </c>
      <c r="O863" t="str">
        <f t="shared" ca="1" si="69"/>
        <v>Not Eligible</v>
      </c>
    </row>
    <row r="864" spans="1:15" x14ac:dyDescent="0.25">
      <c r="A864" t="s">
        <v>42</v>
      </c>
      <c r="B864">
        <v>40</v>
      </c>
      <c r="C864">
        <v>50000</v>
      </c>
      <c r="D864" t="s">
        <v>26</v>
      </c>
      <c r="E864" t="s">
        <v>15</v>
      </c>
      <c r="F864" t="s">
        <v>30</v>
      </c>
      <c r="G864" s="1">
        <v>43192</v>
      </c>
      <c r="H864" s="1" t="s">
        <v>12</v>
      </c>
      <c r="I864" s="1" t="s">
        <v>13</v>
      </c>
      <c r="J864" s="1" t="s">
        <v>44</v>
      </c>
      <c r="K864" s="4">
        <f t="shared" ca="1" si="65"/>
        <v>8</v>
      </c>
      <c r="L864" t="str">
        <f t="shared" si="66"/>
        <v>Low</v>
      </c>
      <c r="M864" t="str">
        <f t="shared" si="67"/>
        <v>Low</v>
      </c>
      <c r="N864" t="str">
        <f t="shared" si="68"/>
        <v>PIP</v>
      </c>
      <c r="O864" t="str">
        <f t="shared" ca="1" si="69"/>
        <v>Not Eligible</v>
      </c>
    </row>
    <row r="865" spans="1:15" x14ac:dyDescent="0.25">
      <c r="A865" t="s">
        <v>42</v>
      </c>
      <c r="B865">
        <v>35</v>
      </c>
      <c r="C865">
        <v>55000</v>
      </c>
      <c r="D865" t="s">
        <v>26</v>
      </c>
      <c r="E865" t="s">
        <v>10</v>
      </c>
      <c r="F865" t="s">
        <v>16</v>
      </c>
      <c r="G865" s="1">
        <v>43192</v>
      </c>
      <c r="H865" s="1" t="s">
        <v>12</v>
      </c>
      <c r="I865" s="1" t="s">
        <v>25</v>
      </c>
      <c r="J865" s="1" t="s">
        <v>19</v>
      </c>
      <c r="K865" s="4">
        <f t="shared" ca="1" si="65"/>
        <v>8</v>
      </c>
      <c r="L865" t="str">
        <f t="shared" si="66"/>
        <v>Low</v>
      </c>
      <c r="M865" t="str">
        <f t="shared" si="67"/>
        <v>Low</v>
      </c>
      <c r="N865" t="str">
        <f t="shared" si="68"/>
        <v>PIP</v>
      </c>
      <c r="O865" t="str">
        <f t="shared" ca="1" si="69"/>
        <v>Not Eligible</v>
      </c>
    </row>
    <row r="866" spans="1:15" x14ac:dyDescent="0.25">
      <c r="A866" t="s">
        <v>39</v>
      </c>
      <c r="B866">
        <v>35</v>
      </c>
      <c r="C866">
        <v>65000</v>
      </c>
      <c r="D866" t="s">
        <v>9</v>
      </c>
      <c r="E866" t="s">
        <v>15</v>
      </c>
      <c r="F866" t="s">
        <v>30</v>
      </c>
      <c r="G866" s="1">
        <v>43192</v>
      </c>
      <c r="H866" s="1" t="s">
        <v>12</v>
      </c>
      <c r="I866" s="1" t="s">
        <v>25</v>
      </c>
      <c r="J866" s="1" t="s">
        <v>19</v>
      </c>
      <c r="K866" s="4">
        <f t="shared" ca="1" si="65"/>
        <v>8</v>
      </c>
      <c r="L866" t="str">
        <f t="shared" si="66"/>
        <v>High</v>
      </c>
      <c r="M866" t="str">
        <f t="shared" si="67"/>
        <v>Low</v>
      </c>
      <c r="N866" t="str">
        <f t="shared" si="68"/>
        <v>PIP</v>
      </c>
      <c r="O866" t="str">
        <f t="shared" ca="1" si="69"/>
        <v>Not Eligible</v>
      </c>
    </row>
    <row r="867" spans="1:15" x14ac:dyDescent="0.25">
      <c r="A867" t="s">
        <v>41</v>
      </c>
      <c r="B867">
        <v>40</v>
      </c>
      <c r="C867">
        <v>50000</v>
      </c>
      <c r="D867" t="s">
        <v>26</v>
      </c>
      <c r="E867" t="s">
        <v>15</v>
      </c>
      <c r="F867" t="s">
        <v>30</v>
      </c>
      <c r="G867" s="1">
        <v>43192</v>
      </c>
      <c r="H867" s="1" t="s">
        <v>12</v>
      </c>
      <c r="I867" s="1" t="s">
        <v>25</v>
      </c>
      <c r="J867" s="1" t="s">
        <v>19</v>
      </c>
      <c r="K867" s="4">
        <f t="shared" ca="1" si="65"/>
        <v>8</v>
      </c>
      <c r="L867" t="str">
        <f t="shared" si="66"/>
        <v>Low</v>
      </c>
      <c r="M867" t="str">
        <f t="shared" si="67"/>
        <v>Low</v>
      </c>
      <c r="N867" t="str">
        <f t="shared" si="68"/>
        <v>PIP</v>
      </c>
      <c r="O867" t="str">
        <f t="shared" ca="1" si="69"/>
        <v>Not Eligible</v>
      </c>
    </row>
    <row r="868" spans="1:15" x14ac:dyDescent="0.25">
      <c r="A868" t="s">
        <v>36</v>
      </c>
      <c r="B868">
        <v>25</v>
      </c>
      <c r="C868">
        <v>55000</v>
      </c>
      <c r="D868" t="s">
        <v>9</v>
      </c>
      <c r="E868" t="s">
        <v>20</v>
      </c>
      <c r="F868" t="s">
        <v>11</v>
      </c>
      <c r="G868" s="1">
        <v>43192</v>
      </c>
      <c r="H868" s="1" t="s">
        <v>29</v>
      </c>
      <c r="I868" s="1" t="s">
        <v>44</v>
      </c>
      <c r="J868" s="1" t="s">
        <v>44</v>
      </c>
      <c r="K868" s="4">
        <f t="shared" ca="1" si="65"/>
        <v>8</v>
      </c>
      <c r="L868" t="str">
        <f t="shared" si="66"/>
        <v>Low</v>
      </c>
      <c r="M868" t="str">
        <f t="shared" si="67"/>
        <v>Medium</v>
      </c>
      <c r="N868" t="str">
        <f t="shared" si="68"/>
        <v>No PIP</v>
      </c>
      <c r="O868" t="str">
        <f t="shared" ca="1" si="69"/>
        <v>Not Eligible</v>
      </c>
    </row>
    <row r="869" spans="1:15" x14ac:dyDescent="0.25">
      <c r="A869" t="s">
        <v>39</v>
      </c>
      <c r="B869">
        <v>50</v>
      </c>
      <c r="C869">
        <v>60216</v>
      </c>
      <c r="D869" t="s">
        <v>14</v>
      </c>
      <c r="E869" t="s">
        <v>15</v>
      </c>
      <c r="F869" t="s">
        <v>16</v>
      </c>
      <c r="G869" s="1">
        <v>43192</v>
      </c>
      <c r="H869" s="1" t="s">
        <v>29</v>
      </c>
      <c r="I869" s="1" t="s">
        <v>18</v>
      </c>
      <c r="J869" s="1" t="s">
        <v>32</v>
      </c>
      <c r="K869" s="4">
        <f t="shared" ca="1" si="65"/>
        <v>8</v>
      </c>
      <c r="L869" t="str">
        <f t="shared" si="66"/>
        <v>Medium</v>
      </c>
      <c r="M869" t="str">
        <f t="shared" si="67"/>
        <v>Medium</v>
      </c>
      <c r="N869" t="str">
        <f t="shared" si="68"/>
        <v>No PIP</v>
      </c>
      <c r="O869" t="str">
        <f t="shared" ca="1" si="69"/>
        <v>Not Eligible</v>
      </c>
    </row>
    <row r="870" spans="1:15" x14ac:dyDescent="0.25">
      <c r="A870" t="s">
        <v>41</v>
      </c>
      <c r="B870">
        <v>25</v>
      </c>
      <c r="C870">
        <v>60216</v>
      </c>
      <c r="D870" t="s">
        <v>26</v>
      </c>
      <c r="E870" t="s">
        <v>15</v>
      </c>
      <c r="F870" t="s">
        <v>16</v>
      </c>
      <c r="G870" s="1">
        <v>43192</v>
      </c>
      <c r="H870" s="1" t="s">
        <v>29</v>
      </c>
      <c r="I870" s="1" t="s">
        <v>25</v>
      </c>
      <c r="J870" s="1" t="s">
        <v>44</v>
      </c>
      <c r="K870" s="4">
        <f t="shared" ca="1" si="65"/>
        <v>8</v>
      </c>
      <c r="L870" t="str">
        <f t="shared" si="66"/>
        <v>Medium</v>
      </c>
      <c r="M870" t="str">
        <f t="shared" si="67"/>
        <v>Medium</v>
      </c>
      <c r="N870" t="str">
        <f t="shared" si="68"/>
        <v>No PIP</v>
      </c>
      <c r="O870" t="str">
        <f t="shared" ca="1" si="69"/>
        <v>Not Eligible</v>
      </c>
    </row>
    <row r="871" spans="1:15" x14ac:dyDescent="0.25">
      <c r="A871" t="s">
        <v>39</v>
      </c>
      <c r="B871">
        <v>35</v>
      </c>
      <c r="C871">
        <v>60216</v>
      </c>
      <c r="D871" t="s">
        <v>26</v>
      </c>
      <c r="E871" t="s">
        <v>27</v>
      </c>
      <c r="F871" t="s">
        <v>30</v>
      </c>
      <c r="G871" s="1">
        <v>43192</v>
      </c>
      <c r="H871" s="1" t="s">
        <v>21</v>
      </c>
      <c r="I871" s="1" t="s">
        <v>18</v>
      </c>
      <c r="J871" s="1" t="s">
        <v>19</v>
      </c>
      <c r="K871" s="4">
        <f t="shared" ca="1" si="65"/>
        <v>8</v>
      </c>
      <c r="L871" t="str">
        <f t="shared" si="66"/>
        <v>Medium</v>
      </c>
      <c r="M871" t="str">
        <f t="shared" si="67"/>
        <v>Medium</v>
      </c>
      <c r="N871" t="str">
        <f t="shared" si="68"/>
        <v>No PIP</v>
      </c>
      <c r="O871" t="str">
        <f t="shared" ca="1" si="69"/>
        <v>Not Eligible</v>
      </c>
    </row>
    <row r="872" spans="1:15" x14ac:dyDescent="0.25">
      <c r="A872" t="s">
        <v>36</v>
      </c>
      <c r="B872">
        <v>50</v>
      </c>
      <c r="C872">
        <v>50000</v>
      </c>
      <c r="D872" t="s">
        <v>26</v>
      </c>
      <c r="E872" t="s">
        <v>10</v>
      </c>
      <c r="F872" t="s">
        <v>31</v>
      </c>
      <c r="G872" s="1">
        <v>43192</v>
      </c>
      <c r="H872" s="1" t="s">
        <v>12</v>
      </c>
      <c r="I872" s="1" t="s">
        <v>18</v>
      </c>
      <c r="J872" s="1" t="s">
        <v>19</v>
      </c>
      <c r="K872" s="4">
        <f t="shared" ca="1" si="65"/>
        <v>8</v>
      </c>
      <c r="L872" t="str">
        <f t="shared" si="66"/>
        <v>Low</v>
      </c>
      <c r="M872" t="str">
        <f t="shared" si="67"/>
        <v>Low</v>
      </c>
      <c r="N872" t="str">
        <f t="shared" si="68"/>
        <v>PIP</v>
      </c>
      <c r="O872" t="str">
        <f t="shared" ca="1" si="69"/>
        <v>Not Eligible</v>
      </c>
    </row>
    <row r="873" spans="1:15" x14ac:dyDescent="0.25">
      <c r="A873" t="s">
        <v>40</v>
      </c>
      <c r="B873">
        <v>35</v>
      </c>
      <c r="C873">
        <v>50000</v>
      </c>
      <c r="D873" t="s">
        <v>26</v>
      </c>
      <c r="E873" t="s">
        <v>23</v>
      </c>
      <c r="F873" t="s">
        <v>11</v>
      </c>
      <c r="G873" s="1">
        <v>43192</v>
      </c>
      <c r="H873" s="1" t="s">
        <v>12</v>
      </c>
      <c r="I873" s="1" t="s">
        <v>18</v>
      </c>
      <c r="J873" s="1" t="s">
        <v>44</v>
      </c>
      <c r="K873" s="4">
        <f t="shared" ca="1" si="65"/>
        <v>8</v>
      </c>
      <c r="L873" t="str">
        <f t="shared" si="66"/>
        <v>Low</v>
      </c>
      <c r="M873" t="str">
        <f t="shared" si="67"/>
        <v>Low</v>
      </c>
      <c r="N873" t="str">
        <f t="shared" si="68"/>
        <v>PIP</v>
      </c>
      <c r="O873" t="str">
        <f t="shared" ca="1" si="69"/>
        <v>Not Eligible</v>
      </c>
    </row>
    <row r="874" spans="1:15" x14ac:dyDescent="0.25">
      <c r="A874" t="s">
        <v>40</v>
      </c>
      <c r="B874">
        <v>50</v>
      </c>
      <c r="C874">
        <v>65000</v>
      </c>
      <c r="D874" t="s">
        <v>9</v>
      </c>
      <c r="E874" t="s">
        <v>20</v>
      </c>
      <c r="F874" t="s">
        <v>11</v>
      </c>
      <c r="G874" s="1">
        <v>43192</v>
      </c>
      <c r="H874" s="1" t="s">
        <v>17</v>
      </c>
      <c r="I874" s="1" t="s">
        <v>18</v>
      </c>
      <c r="J874" s="1" t="s">
        <v>19</v>
      </c>
      <c r="K874" s="4">
        <f t="shared" ca="1" si="65"/>
        <v>8</v>
      </c>
      <c r="L874" t="str">
        <f t="shared" si="66"/>
        <v>High</v>
      </c>
      <c r="M874" t="str">
        <f t="shared" si="67"/>
        <v>Low</v>
      </c>
      <c r="N874" t="str">
        <f t="shared" si="68"/>
        <v>PIP</v>
      </c>
      <c r="O874" t="str">
        <f t="shared" ca="1" si="69"/>
        <v>Not Eligible</v>
      </c>
    </row>
    <row r="875" spans="1:15" x14ac:dyDescent="0.25">
      <c r="A875" t="s">
        <v>35</v>
      </c>
      <c r="B875">
        <v>30</v>
      </c>
      <c r="C875">
        <v>70000</v>
      </c>
      <c r="D875" t="s">
        <v>14</v>
      </c>
      <c r="E875" t="s">
        <v>10</v>
      </c>
      <c r="F875" t="s">
        <v>16</v>
      </c>
      <c r="G875" s="1">
        <v>43192</v>
      </c>
      <c r="H875" s="1" t="s">
        <v>21</v>
      </c>
      <c r="I875" s="1" t="s">
        <v>44</v>
      </c>
      <c r="J875" s="1" t="s">
        <v>32</v>
      </c>
      <c r="K875" s="4">
        <f t="shared" ca="1" si="65"/>
        <v>8</v>
      </c>
      <c r="L875" t="str">
        <f t="shared" si="66"/>
        <v>High</v>
      </c>
      <c r="M875" t="str">
        <f t="shared" si="67"/>
        <v>Medium</v>
      </c>
      <c r="N875" t="str">
        <f t="shared" si="68"/>
        <v>No PIP</v>
      </c>
      <c r="O875" t="str">
        <f t="shared" ca="1" si="69"/>
        <v>Not Eligible</v>
      </c>
    </row>
    <row r="876" spans="1:15" x14ac:dyDescent="0.25">
      <c r="A876" t="s">
        <v>42</v>
      </c>
      <c r="B876">
        <v>35</v>
      </c>
      <c r="C876">
        <v>55000</v>
      </c>
      <c r="D876" t="s">
        <v>26</v>
      </c>
      <c r="E876" t="s">
        <v>23</v>
      </c>
      <c r="F876" t="s">
        <v>11</v>
      </c>
      <c r="G876" s="1">
        <v>43192</v>
      </c>
      <c r="H876" s="1" t="s">
        <v>24</v>
      </c>
      <c r="I876" s="1" t="s">
        <v>13</v>
      </c>
      <c r="J876" s="1" t="s">
        <v>19</v>
      </c>
      <c r="K876" s="4">
        <f t="shared" ca="1" si="65"/>
        <v>8</v>
      </c>
      <c r="L876" t="str">
        <f t="shared" si="66"/>
        <v>Low</v>
      </c>
      <c r="M876" t="str">
        <f t="shared" si="67"/>
        <v>High</v>
      </c>
      <c r="N876" t="str">
        <f t="shared" si="68"/>
        <v>No PIP</v>
      </c>
      <c r="O876" t="str">
        <f t="shared" ca="1" si="69"/>
        <v>Eligible</v>
      </c>
    </row>
    <row r="877" spans="1:15" x14ac:dyDescent="0.25">
      <c r="A877" t="s">
        <v>33</v>
      </c>
      <c r="B877">
        <v>40</v>
      </c>
      <c r="C877">
        <v>60216</v>
      </c>
      <c r="D877" t="s">
        <v>26</v>
      </c>
      <c r="E877" t="s">
        <v>23</v>
      </c>
      <c r="F877" t="s">
        <v>28</v>
      </c>
      <c r="G877" s="1">
        <v>43192</v>
      </c>
      <c r="H877" s="1" t="s">
        <v>21</v>
      </c>
      <c r="I877" s="1" t="s">
        <v>25</v>
      </c>
      <c r="J877" s="1" t="s">
        <v>32</v>
      </c>
      <c r="K877" s="4">
        <f t="shared" ca="1" si="65"/>
        <v>8</v>
      </c>
      <c r="L877" t="str">
        <f t="shared" si="66"/>
        <v>Medium</v>
      </c>
      <c r="M877" t="str">
        <f t="shared" si="67"/>
        <v>Medium</v>
      </c>
      <c r="N877" t="str">
        <f t="shared" si="68"/>
        <v>No PIP</v>
      </c>
      <c r="O877" t="str">
        <f t="shared" ca="1" si="69"/>
        <v>Not Eligible</v>
      </c>
    </row>
    <row r="878" spans="1:15" x14ac:dyDescent="0.25">
      <c r="A878" t="s">
        <v>37</v>
      </c>
      <c r="B878">
        <v>30</v>
      </c>
      <c r="C878">
        <v>55000</v>
      </c>
      <c r="D878" t="s">
        <v>9</v>
      </c>
      <c r="E878" t="s">
        <v>23</v>
      </c>
      <c r="F878" t="s">
        <v>30</v>
      </c>
      <c r="G878" s="1">
        <v>43192</v>
      </c>
      <c r="H878" s="1" t="s">
        <v>24</v>
      </c>
      <c r="I878" s="1" t="s">
        <v>25</v>
      </c>
      <c r="J878" s="1" t="s">
        <v>44</v>
      </c>
      <c r="K878" s="4">
        <f t="shared" ca="1" si="65"/>
        <v>8</v>
      </c>
      <c r="L878" t="str">
        <f t="shared" si="66"/>
        <v>Low</v>
      </c>
      <c r="M878" t="str">
        <f t="shared" si="67"/>
        <v>High</v>
      </c>
      <c r="N878" t="str">
        <f t="shared" si="68"/>
        <v>No PIP</v>
      </c>
      <c r="O878" t="str">
        <f t="shared" ca="1" si="69"/>
        <v>Eligible</v>
      </c>
    </row>
    <row r="879" spans="1:15" x14ac:dyDescent="0.25">
      <c r="A879" t="s">
        <v>33</v>
      </c>
      <c r="B879">
        <v>30</v>
      </c>
      <c r="C879">
        <v>60216</v>
      </c>
      <c r="D879" t="s">
        <v>26</v>
      </c>
      <c r="E879" t="s">
        <v>23</v>
      </c>
      <c r="F879" t="s">
        <v>30</v>
      </c>
      <c r="G879" s="1">
        <v>43192</v>
      </c>
      <c r="H879" s="1" t="s">
        <v>29</v>
      </c>
      <c r="I879" s="1" t="s">
        <v>44</v>
      </c>
      <c r="J879" s="1" t="s">
        <v>22</v>
      </c>
      <c r="K879" s="4">
        <f t="shared" ca="1" si="65"/>
        <v>8</v>
      </c>
      <c r="L879" t="str">
        <f t="shared" si="66"/>
        <v>Medium</v>
      </c>
      <c r="M879" t="str">
        <f t="shared" si="67"/>
        <v>Medium</v>
      </c>
      <c r="N879" t="str">
        <f t="shared" si="68"/>
        <v>No PIP</v>
      </c>
      <c r="O879" t="str">
        <f t="shared" ca="1" si="69"/>
        <v>Not Eligible</v>
      </c>
    </row>
    <row r="880" spans="1:15" x14ac:dyDescent="0.25">
      <c r="A880" t="s">
        <v>38</v>
      </c>
      <c r="B880">
        <v>35</v>
      </c>
      <c r="C880">
        <v>70000</v>
      </c>
      <c r="D880" t="s">
        <v>14</v>
      </c>
      <c r="E880" t="s">
        <v>27</v>
      </c>
      <c r="F880" t="s">
        <v>31</v>
      </c>
      <c r="G880" s="1">
        <v>43192</v>
      </c>
      <c r="H880" s="1" t="s">
        <v>12</v>
      </c>
      <c r="I880" s="1" t="s">
        <v>44</v>
      </c>
      <c r="J880" s="1" t="s">
        <v>19</v>
      </c>
      <c r="K880" s="4">
        <f t="shared" ca="1" si="65"/>
        <v>8</v>
      </c>
      <c r="L880" t="str">
        <f t="shared" si="66"/>
        <v>High</v>
      </c>
      <c r="M880" t="str">
        <f t="shared" si="67"/>
        <v>Low</v>
      </c>
      <c r="N880" t="str">
        <f t="shared" si="68"/>
        <v>PIP</v>
      </c>
      <c r="O880" t="str">
        <f t="shared" ca="1" si="69"/>
        <v>Not Eligible</v>
      </c>
    </row>
    <row r="881" spans="1:15" x14ac:dyDescent="0.25">
      <c r="A881" t="s">
        <v>39</v>
      </c>
      <c r="B881">
        <v>35</v>
      </c>
      <c r="C881">
        <v>60000</v>
      </c>
      <c r="D881" t="s">
        <v>14</v>
      </c>
      <c r="E881" t="s">
        <v>10</v>
      </c>
      <c r="F881" t="s">
        <v>31</v>
      </c>
      <c r="G881" s="1">
        <v>43192</v>
      </c>
      <c r="H881" s="1" t="s">
        <v>21</v>
      </c>
      <c r="I881" s="1" t="s">
        <v>44</v>
      </c>
      <c r="J881" s="1" t="s">
        <v>22</v>
      </c>
      <c r="K881" s="4">
        <f t="shared" ca="1" si="65"/>
        <v>8</v>
      </c>
      <c r="L881" t="str">
        <f t="shared" si="66"/>
        <v>Medium</v>
      </c>
      <c r="M881" t="str">
        <f t="shared" si="67"/>
        <v>Medium</v>
      </c>
      <c r="N881" t="str">
        <f t="shared" si="68"/>
        <v>No PIP</v>
      </c>
      <c r="O881" t="str">
        <f t="shared" ca="1" si="69"/>
        <v>Not Eligible</v>
      </c>
    </row>
    <row r="882" spans="1:15" x14ac:dyDescent="0.25">
      <c r="A882" t="s">
        <v>41</v>
      </c>
      <c r="B882">
        <v>30</v>
      </c>
      <c r="C882">
        <v>50000</v>
      </c>
      <c r="D882" t="s">
        <v>26</v>
      </c>
      <c r="E882" t="s">
        <v>15</v>
      </c>
      <c r="F882" t="s">
        <v>31</v>
      </c>
      <c r="G882" s="1">
        <v>43192</v>
      </c>
      <c r="H882" s="1" t="s">
        <v>29</v>
      </c>
      <c r="I882" s="1" t="s">
        <v>44</v>
      </c>
      <c r="J882" s="1" t="s">
        <v>19</v>
      </c>
      <c r="K882" s="4">
        <f t="shared" ca="1" si="65"/>
        <v>8</v>
      </c>
      <c r="L882" t="str">
        <f t="shared" si="66"/>
        <v>Low</v>
      </c>
      <c r="M882" t="str">
        <f t="shared" si="67"/>
        <v>Medium</v>
      </c>
      <c r="N882" t="str">
        <f t="shared" si="68"/>
        <v>No PIP</v>
      </c>
      <c r="O882" t="str">
        <f t="shared" ca="1" si="69"/>
        <v>Not Eligible</v>
      </c>
    </row>
    <row r="883" spans="1:15" x14ac:dyDescent="0.25">
      <c r="A883" t="s">
        <v>37</v>
      </c>
      <c r="B883">
        <v>50</v>
      </c>
      <c r="C883">
        <v>55000</v>
      </c>
      <c r="D883" t="s">
        <v>9</v>
      </c>
      <c r="E883" t="s">
        <v>27</v>
      </c>
      <c r="F883" t="s">
        <v>16</v>
      </c>
      <c r="G883" s="1">
        <v>43192</v>
      </c>
      <c r="H883" s="1" t="s">
        <v>29</v>
      </c>
      <c r="I883" s="1" t="s">
        <v>13</v>
      </c>
      <c r="J883" s="1" t="s">
        <v>19</v>
      </c>
      <c r="K883" s="4">
        <f t="shared" ca="1" si="65"/>
        <v>8</v>
      </c>
      <c r="L883" t="str">
        <f t="shared" si="66"/>
        <v>Low</v>
      </c>
      <c r="M883" t="str">
        <f t="shared" si="67"/>
        <v>Medium</v>
      </c>
      <c r="N883" t="str">
        <f t="shared" si="68"/>
        <v>No PIP</v>
      </c>
      <c r="O883" t="str">
        <f t="shared" ca="1" si="69"/>
        <v>Not Eligible</v>
      </c>
    </row>
    <row r="884" spans="1:15" x14ac:dyDescent="0.25">
      <c r="A884" t="s">
        <v>37</v>
      </c>
      <c r="B884">
        <v>40</v>
      </c>
      <c r="C884">
        <v>65000</v>
      </c>
      <c r="D884" t="s">
        <v>26</v>
      </c>
      <c r="E884" t="s">
        <v>15</v>
      </c>
      <c r="F884" t="s">
        <v>28</v>
      </c>
      <c r="G884" s="1">
        <v>43192</v>
      </c>
      <c r="H884" s="1" t="s">
        <v>12</v>
      </c>
      <c r="I884" s="1" t="s">
        <v>44</v>
      </c>
      <c r="J884" s="1" t="s">
        <v>19</v>
      </c>
      <c r="K884" s="4">
        <f t="shared" ca="1" si="65"/>
        <v>8</v>
      </c>
      <c r="L884" t="str">
        <f t="shared" si="66"/>
        <v>High</v>
      </c>
      <c r="M884" t="str">
        <f t="shared" si="67"/>
        <v>Low</v>
      </c>
      <c r="N884" t="str">
        <f t="shared" si="68"/>
        <v>PIP</v>
      </c>
      <c r="O884" t="str">
        <f t="shared" ca="1" si="69"/>
        <v>Not Eligible</v>
      </c>
    </row>
    <row r="885" spans="1:15" x14ac:dyDescent="0.25">
      <c r="A885" t="s">
        <v>40</v>
      </c>
      <c r="B885">
        <v>50</v>
      </c>
      <c r="C885">
        <v>60000</v>
      </c>
      <c r="D885" t="s">
        <v>9</v>
      </c>
      <c r="E885" t="s">
        <v>10</v>
      </c>
      <c r="F885" t="s">
        <v>28</v>
      </c>
      <c r="G885" s="1">
        <v>43192</v>
      </c>
      <c r="H885" s="1" t="s">
        <v>29</v>
      </c>
      <c r="I885" s="1" t="s">
        <v>25</v>
      </c>
      <c r="J885" s="1" t="s">
        <v>44</v>
      </c>
      <c r="K885" s="4">
        <f t="shared" ca="1" si="65"/>
        <v>8</v>
      </c>
      <c r="L885" t="str">
        <f t="shared" si="66"/>
        <v>Medium</v>
      </c>
      <c r="M885" t="str">
        <f t="shared" si="67"/>
        <v>Medium</v>
      </c>
      <c r="N885" t="str">
        <f t="shared" si="68"/>
        <v>No PIP</v>
      </c>
      <c r="O885" t="str">
        <f t="shared" ca="1" si="69"/>
        <v>Not Eligible</v>
      </c>
    </row>
    <row r="886" spans="1:15" x14ac:dyDescent="0.25">
      <c r="A886" t="s">
        <v>33</v>
      </c>
      <c r="B886">
        <v>35</v>
      </c>
      <c r="C886">
        <v>55000</v>
      </c>
      <c r="D886" t="s">
        <v>26</v>
      </c>
      <c r="E886" t="s">
        <v>27</v>
      </c>
      <c r="F886" t="s">
        <v>31</v>
      </c>
      <c r="G886" s="1">
        <v>43192</v>
      </c>
      <c r="H886" s="1" t="s">
        <v>24</v>
      </c>
      <c r="I886" s="1" t="s">
        <v>13</v>
      </c>
      <c r="J886" s="1" t="s">
        <v>22</v>
      </c>
      <c r="K886" s="4">
        <f t="shared" ca="1" si="65"/>
        <v>8</v>
      </c>
      <c r="L886" t="str">
        <f t="shared" si="66"/>
        <v>Low</v>
      </c>
      <c r="M886" t="str">
        <f t="shared" si="67"/>
        <v>High</v>
      </c>
      <c r="N886" t="str">
        <f t="shared" si="68"/>
        <v>No PIP</v>
      </c>
      <c r="O886" t="str">
        <f t="shared" ca="1" si="69"/>
        <v>Eligible</v>
      </c>
    </row>
    <row r="887" spans="1:15" x14ac:dyDescent="0.25">
      <c r="A887" t="s">
        <v>38</v>
      </c>
      <c r="B887">
        <v>40</v>
      </c>
      <c r="C887">
        <v>50000</v>
      </c>
      <c r="D887" t="s">
        <v>26</v>
      </c>
      <c r="E887" t="s">
        <v>15</v>
      </c>
      <c r="F887" t="s">
        <v>11</v>
      </c>
      <c r="G887" s="1">
        <v>43192</v>
      </c>
      <c r="H887" s="1" t="s">
        <v>29</v>
      </c>
      <c r="I887" s="1" t="s">
        <v>44</v>
      </c>
      <c r="J887" s="1" t="s">
        <v>32</v>
      </c>
      <c r="K887" s="4">
        <f t="shared" ca="1" si="65"/>
        <v>8</v>
      </c>
      <c r="L887" t="str">
        <f t="shared" si="66"/>
        <v>Low</v>
      </c>
      <c r="M887" t="str">
        <f t="shared" si="67"/>
        <v>Medium</v>
      </c>
      <c r="N887" t="str">
        <f t="shared" si="68"/>
        <v>No PIP</v>
      </c>
      <c r="O887" t="str">
        <f t="shared" ca="1" si="69"/>
        <v>Not Eligible</v>
      </c>
    </row>
    <row r="888" spans="1:15" x14ac:dyDescent="0.25">
      <c r="A888" t="s">
        <v>41</v>
      </c>
      <c r="B888">
        <v>50</v>
      </c>
      <c r="C888">
        <v>60000</v>
      </c>
      <c r="D888" t="s">
        <v>26</v>
      </c>
      <c r="E888" t="s">
        <v>10</v>
      </c>
      <c r="F888" t="s">
        <v>16</v>
      </c>
      <c r="G888" s="1">
        <v>43192</v>
      </c>
      <c r="H888" s="1" t="s">
        <v>29</v>
      </c>
      <c r="I888" s="1" t="s">
        <v>44</v>
      </c>
      <c r="J888" s="1" t="s">
        <v>22</v>
      </c>
      <c r="K888" s="4">
        <f t="shared" ca="1" si="65"/>
        <v>8</v>
      </c>
      <c r="L888" t="str">
        <f t="shared" si="66"/>
        <v>Medium</v>
      </c>
      <c r="M888" t="str">
        <f t="shared" si="67"/>
        <v>Medium</v>
      </c>
      <c r="N888" t="str">
        <f t="shared" si="68"/>
        <v>No PIP</v>
      </c>
      <c r="O888" t="str">
        <f t="shared" ca="1" si="69"/>
        <v>Not Eligible</v>
      </c>
    </row>
    <row r="889" spans="1:15" x14ac:dyDescent="0.25">
      <c r="A889" t="s">
        <v>37</v>
      </c>
      <c r="B889">
        <v>30</v>
      </c>
      <c r="C889">
        <v>70000</v>
      </c>
      <c r="D889" t="s">
        <v>26</v>
      </c>
      <c r="E889" t="s">
        <v>15</v>
      </c>
      <c r="F889" t="s">
        <v>30</v>
      </c>
      <c r="G889" s="1">
        <v>43192</v>
      </c>
      <c r="H889" s="1" t="s">
        <v>29</v>
      </c>
      <c r="I889" s="1" t="s">
        <v>13</v>
      </c>
      <c r="J889" s="1" t="s">
        <v>44</v>
      </c>
      <c r="K889" s="4">
        <f t="shared" ca="1" si="65"/>
        <v>8</v>
      </c>
      <c r="L889" t="str">
        <f t="shared" si="66"/>
        <v>High</v>
      </c>
      <c r="M889" t="str">
        <f t="shared" si="67"/>
        <v>Medium</v>
      </c>
      <c r="N889" t="str">
        <f t="shared" si="68"/>
        <v>No PIP</v>
      </c>
      <c r="O889" t="str">
        <f t="shared" ca="1" si="69"/>
        <v>Not Eligible</v>
      </c>
    </row>
    <row r="890" spans="1:15" x14ac:dyDescent="0.25">
      <c r="A890" t="s">
        <v>37</v>
      </c>
      <c r="B890">
        <v>50</v>
      </c>
      <c r="C890">
        <v>50000</v>
      </c>
      <c r="D890" t="s">
        <v>9</v>
      </c>
      <c r="E890" t="s">
        <v>23</v>
      </c>
      <c r="F890" t="s">
        <v>31</v>
      </c>
      <c r="G890" s="1">
        <v>43192</v>
      </c>
      <c r="H890" s="1" t="s">
        <v>24</v>
      </c>
      <c r="I890" s="1" t="s">
        <v>44</v>
      </c>
      <c r="J890" s="1" t="s">
        <v>44</v>
      </c>
      <c r="K890" s="4">
        <f t="shared" ca="1" si="65"/>
        <v>8</v>
      </c>
      <c r="L890" t="str">
        <f t="shared" si="66"/>
        <v>Low</v>
      </c>
      <c r="M890" t="str">
        <f t="shared" si="67"/>
        <v>High</v>
      </c>
      <c r="N890" t="str">
        <f t="shared" si="68"/>
        <v>No PIP</v>
      </c>
      <c r="O890" t="str">
        <f t="shared" ca="1" si="69"/>
        <v>Eligible</v>
      </c>
    </row>
    <row r="891" spans="1:15" x14ac:dyDescent="0.25">
      <c r="A891" t="s">
        <v>35</v>
      </c>
      <c r="B891">
        <v>50</v>
      </c>
      <c r="C891">
        <v>70000</v>
      </c>
      <c r="D891" t="s">
        <v>14</v>
      </c>
      <c r="E891" t="s">
        <v>23</v>
      </c>
      <c r="F891" t="s">
        <v>11</v>
      </c>
      <c r="G891" s="1">
        <v>43192</v>
      </c>
      <c r="H891" s="1" t="s">
        <v>29</v>
      </c>
      <c r="I891" s="1" t="s">
        <v>18</v>
      </c>
      <c r="J891" s="1" t="s">
        <v>44</v>
      </c>
      <c r="K891" s="4">
        <f t="shared" ca="1" si="65"/>
        <v>8</v>
      </c>
      <c r="L891" t="str">
        <f t="shared" si="66"/>
        <v>High</v>
      </c>
      <c r="M891" t="str">
        <f t="shared" si="67"/>
        <v>Medium</v>
      </c>
      <c r="N891" t="str">
        <f t="shared" si="68"/>
        <v>No PIP</v>
      </c>
      <c r="O891" t="str">
        <f t="shared" ca="1" si="69"/>
        <v>Not Eligible</v>
      </c>
    </row>
    <row r="892" spans="1:15" x14ac:dyDescent="0.25">
      <c r="A892" t="s">
        <v>41</v>
      </c>
      <c r="B892">
        <v>35</v>
      </c>
      <c r="C892">
        <v>65000</v>
      </c>
      <c r="D892" t="s">
        <v>14</v>
      </c>
      <c r="E892" t="s">
        <v>27</v>
      </c>
      <c r="F892" t="s">
        <v>28</v>
      </c>
      <c r="G892" s="1">
        <v>43192</v>
      </c>
      <c r="H892" s="1" t="s">
        <v>17</v>
      </c>
      <c r="I892" s="1" t="s">
        <v>44</v>
      </c>
      <c r="J892" s="1" t="s">
        <v>44</v>
      </c>
      <c r="K892" s="4">
        <f t="shared" ca="1" si="65"/>
        <v>8</v>
      </c>
      <c r="L892" t="str">
        <f t="shared" si="66"/>
        <v>High</v>
      </c>
      <c r="M892" t="str">
        <f t="shared" si="67"/>
        <v>Low</v>
      </c>
      <c r="N892" t="str">
        <f t="shared" si="68"/>
        <v>PIP</v>
      </c>
      <c r="O892" t="str">
        <f t="shared" ca="1" si="69"/>
        <v>Not Eligible</v>
      </c>
    </row>
    <row r="893" spans="1:15" x14ac:dyDescent="0.25">
      <c r="A893" t="s">
        <v>35</v>
      </c>
      <c r="B893">
        <v>35</v>
      </c>
      <c r="C893">
        <v>60216</v>
      </c>
      <c r="D893" t="s">
        <v>14</v>
      </c>
      <c r="E893" t="s">
        <v>10</v>
      </c>
      <c r="F893" t="s">
        <v>11</v>
      </c>
      <c r="G893" s="1">
        <v>43192</v>
      </c>
      <c r="H893" s="1" t="s">
        <v>21</v>
      </c>
      <c r="I893" s="1" t="s">
        <v>25</v>
      </c>
      <c r="J893" s="1" t="s">
        <v>19</v>
      </c>
      <c r="K893" s="4">
        <f t="shared" ca="1" si="65"/>
        <v>8</v>
      </c>
      <c r="L893" t="str">
        <f t="shared" si="66"/>
        <v>Medium</v>
      </c>
      <c r="M893" t="str">
        <f t="shared" si="67"/>
        <v>Medium</v>
      </c>
      <c r="N893" t="str">
        <f t="shared" si="68"/>
        <v>No PIP</v>
      </c>
      <c r="O893" t="str">
        <f t="shared" ca="1" si="69"/>
        <v>Not Eligible</v>
      </c>
    </row>
    <row r="894" spans="1:15" x14ac:dyDescent="0.25">
      <c r="A894" t="s">
        <v>41</v>
      </c>
      <c r="B894">
        <v>30</v>
      </c>
      <c r="C894">
        <v>60000</v>
      </c>
      <c r="D894" t="s">
        <v>14</v>
      </c>
      <c r="E894" t="s">
        <v>23</v>
      </c>
      <c r="F894" t="s">
        <v>30</v>
      </c>
      <c r="G894" s="1">
        <v>43192</v>
      </c>
      <c r="H894" s="1" t="s">
        <v>17</v>
      </c>
      <c r="I894" s="1" t="s">
        <v>25</v>
      </c>
      <c r="J894" s="1" t="s">
        <v>44</v>
      </c>
      <c r="K894" s="4">
        <f t="shared" ca="1" si="65"/>
        <v>8</v>
      </c>
      <c r="L894" t="str">
        <f t="shared" si="66"/>
        <v>Medium</v>
      </c>
      <c r="M894" t="str">
        <f t="shared" si="67"/>
        <v>Low</v>
      </c>
      <c r="N894" t="str">
        <f t="shared" si="68"/>
        <v>PIP</v>
      </c>
      <c r="O894" t="str">
        <f t="shared" ca="1" si="69"/>
        <v>Not Eligible</v>
      </c>
    </row>
    <row r="895" spans="1:15" x14ac:dyDescent="0.25">
      <c r="A895" t="s">
        <v>40</v>
      </c>
      <c r="B895">
        <v>30</v>
      </c>
      <c r="C895">
        <v>70000</v>
      </c>
      <c r="D895" t="s">
        <v>26</v>
      </c>
      <c r="E895" t="s">
        <v>23</v>
      </c>
      <c r="F895" t="s">
        <v>30</v>
      </c>
      <c r="G895" s="1">
        <v>43192</v>
      </c>
      <c r="H895" s="1" t="s">
        <v>29</v>
      </c>
      <c r="I895" s="1" t="s">
        <v>18</v>
      </c>
      <c r="J895" s="1" t="s">
        <v>32</v>
      </c>
      <c r="K895" s="4">
        <f t="shared" ca="1" si="65"/>
        <v>8</v>
      </c>
      <c r="L895" t="str">
        <f t="shared" si="66"/>
        <v>High</v>
      </c>
      <c r="M895" t="str">
        <f t="shared" si="67"/>
        <v>Medium</v>
      </c>
      <c r="N895" t="str">
        <f t="shared" si="68"/>
        <v>No PIP</v>
      </c>
      <c r="O895" t="str">
        <f t="shared" ca="1" si="69"/>
        <v>Not Eligible</v>
      </c>
    </row>
    <row r="896" spans="1:15" x14ac:dyDescent="0.25">
      <c r="A896" t="s">
        <v>35</v>
      </c>
      <c r="B896">
        <v>40</v>
      </c>
      <c r="C896">
        <v>55000</v>
      </c>
      <c r="D896" t="s">
        <v>14</v>
      </c>
      <c r="E896" t="s">
        <v>23</v>
      </c>
      <c r="F896" t="s">
        <v>28</v>
      </c>
      <c r="G896" s="1">
        <v>43192</v>
      </c>
      <c r="H896" s="1" t="s">
        <v>12</v>
      </c>
      <c r="I896" s="1" t="s">
        <v>13</v>
      </c>
      <c r="J896" s="1" t="s">
        <v>22</v>
      </c>
      <c r="K896" s="4">
        <f t="shared" ca="1" si="65"/>
        <v>8</v>
      </c>
      <c r="L896" t="str">
        <f t="shared" si="66"/>
        <v>Low</v>
      </c>
      <c r="M896" t="str">
        <f t="shared" si="67"/>
        <v>Low</v>
      </c>
      <c r="N896" t="str">
        <f t="shared" si="68"/>
        <v>PIP</v>
      </c>
      <c r="O896" t="str">
        <f t="shared" ca="1" si="69"/>
        <v>Not Eligible</v>
      </c>
    </row>
    <row r="897" spans="1:15" x14ac:dyDescent="0.25">
      <c r="A897" t="s">
        <v>40</v>
      </c>
      <c r="B897">
        <v>35</v>
      </c>
      <c r="C897">
        <v>70000</v>
      </c>
      <c r="D897" t="s">
        <v>9</v>
      </c>
      <c r="E897" t="s">
        <v>23</v>
      </c>
      <c r="F897" t="s">
        <v>28</v>
      </c>
      <c r="G897" s="1">
        <v>43192</v>
      </c>
      <c r="H897" s="1" t="s">
        <v>24</v>
      </c>
      <c r="I897" s="1" t="s">
        <v>44</v>
      </c>
      <c r="J897" s="1" t="s">
        <v>19</v>
      </c>
      <c r="K897" s="4">
        <f t="shared" ca="1" si="65"/>
        <v>8</v>
      </c>
      <c r="L897" t="str">
        <f t="shared" si="66"/>
        <v>High</v>
      </c>
      <c r="M897" t="str">
        <f t="shared" si="67"/>
        <v>High</v>
      </c>
      <c r="N897" t="str">
        <f t="shared" si="68"/>
        <v>No PIP</v>
      </c>
      <c r="O897" t="str">
        <f t="shared" ca="1" si="69"/>
        <v>Eligible</v>
      </c>
    </row>
    <row r="898" spans="1:15" x14ac:dyDescent="0.25">
      <c r="A898" t="s">
        <v>37</v>
      </c>
      <c r="B898">
        <v>50</v>
      </c>
      <c r="C898">
        <v>60216</v>
      </c>
      <c r="D898" t="s">
        <v>14</v>
      </c>
      <c r="E898" t="s">
        <v>20</v>
      </c>
      <c r="F898" t="s">
        <v>16</v>
      </c>
      <c r="G898" s="1">
        <v>43192</v>
      </c>
      <c r="H898" s="1" t="s">
        <v>29</v>
      </c>
      <c r="I898" s="1" t="s">
        <v>44</v>
      </c>
      <c r="J898" s="1" t="s">
        <v>22</v>
      </c>
      <c r="K898" s="4">
        <f t="shared" ca="1" si="65"/>
        <v>8</v>
      </c>
      <c r="L898" t="str">
        <f t="shared" si="66"/>
        <v>Medium</v>
      </c>
      <c r="M898" t="str">
        <f t="shared" si="67"/>
        <v>Medium</v>
      </c>
      <c r="N898" t="str">
        <f t="shared" si="68"/>
        <v>No PIP</v>
      </c>
      <c r="O898" t="str">
        <f t="shared" ca="1" si="69"/>
        <v>Not Eligible</v>
      </c>
    </row>
    <row r="899" spans="1:15" x14ac:dyDescent="0.25">
      <c r="A899" t="s">
        <v>38</v>
      </c>
      <c r="B899">
        <v>50</v>
      </c>
      <c r="C899">
        <v>60000</v>
      </c>
      <c r="D899" t="s">
        <v>9</v>
      </c>
      <c r="E899" t="s">
        <v>27</v>
      </c>
      <c r="F899" t="s">
        <v>28</v>
      </c>
      <c r="G899" s="1">
        <v>43192</v>
      </c>
      <c r="H899" s="1" t="s">
        <v>17</v>
      </c>
      <c r="I899" s="1" t="s">
        <v>44</v>
      </c>
      <c r="J899" s="1" t="s">
        <v>44</v>
      </c>
      <c r="K899" s="4">
        <f t="shared" ref="K899:K962" ca="1" si="70">ROUND((TODAY()-G899)/365,1)</f>
        <v>8</v>
      </c>
      <c r="L899" t="str">
        <f t="shared" ref="L899:L962" si="71">IF(C899&lt;60000,"Low", IF(C899&lt;65000,"Medium","High"))</f>
        <v>Medium</v>
      </c>
      <c r="M899" t="str">
        <f t="shared" ref="M899:M962" si="72">IF(H899="A","High",IF(OR(H899="B",H899="C"),"Medium","Low"))</f>
        <v>Low</v>
      </c>
      <c r="N899" t="str">
        <f t="shared" ref="N899:N962" si="73">IF(M899="Low","PIP","No PIP")</f>
        <v>PIP</v>
      </c>
      <c r="O899" t="str">
        <f t="shared" ref="O899:O962" ca="1" si="74">IF(AND(M899="High",K899&gt;3),"Eligible","Not Eligible")</f>
        <v>Not Eligible</v>
      </c>
    </row>
    <row r="900" spans="1:15" x14ac:dyDescent="0.25">
      <c r="A900" t="s">
        <v>33</v>
      </c>
      <c r="B900">
        <v>35</v>
      </c>
      <c r="C900">
        <v>50000</v>
      </c>
      <c r="D900" t="s">
        <v>26</v>
      </c>
      <c r="E900" t="s">
        <v>15</v>
      </c>
      <c r="F900" t="s">
        <v>16</v>
      </c>
      <c r="G900" s="1">
        <v>43192</v>
      </c>
      <c r="H900" s="1" t="s">
        <v>17</v>
      </c>
      <c r="I900" s="1" t="s">
        <v>18</v>
      </c>
      <c r="J900" s="1" t="s">
        <v>44</v>
      </c>
      <c r="K900" s="4">
        <f t="shared" ca="1" si="70"/>
        <v>8</v>
      </c>
      <c r="L900" t="str">
        <f t="shared" si="71"/>
        <v>Low</v>
      </c>
      <c r="M900" t="str">
        <f t="shared" si="72"/>
        <v>Low</v>
      </c>
      <c r="N900" t="str">
        <f t="shared" si="73"/>
        <v>PIP</v>
      </c>
      <c r="O900" t="str">
        <f t="shared" ca="1" si="74"/>
        <v>Not Eligible</v>
      </c>
    </row>
    <row r="901" spans="1:15" x14ac:dyDescent="0.25">
      <c r="A901" t="s">
        <v>41</v>
      </c>
      <c r="B901">
        <v>30</v>
      </c>
      <c r="C901">
        <v>50000</v>
      </c>
      <c r="D901" t="s">
        <v>26</v>
      </c>
      <c r="E901" t="s">
        <v>27</v>
      </c>
      <c r="F901" t="s">
        <v>31</v>
      </c>
      <c r="G901" s="1">
        <v>43192</v>
      </c>
      <c r="H901" s="1" t="s">
        <v>17</v>
      </c>
      <c r="I901" s="1" t="s">
        <v>13</v>
      </c>
      <c r="J901" s="1" t="s">
        <v>32</v>
      </c>
      <c r="K901" s="4">
        <f t="shared" ca="1" si="70"/>
        <v>8</v>
      </c>
      <c r="L901" t="str">
        <f t="shared" si="71"/>
        <v>Low</v>
      </c>
      <c r="M901" t="str">
        <f t="shared" si="72"/>
        <v>Low</v>
      </c>
      <c r="N901" t="str">
        <f t="shared" si="73"/>
        <v>PIP</v>
      </c>
      <c r="O901" t="str">
        <f t="shared" ca="1" si="74"/>
        <v>Not Eligible</v>
      </c>
    </row>
    <row r="902" spans="1:15" x14ac:dyDescent="0.25">
      <c r="A902" t="s">
        <v>34</v>
      </c>
      <c r="B902">
        <v>25</v>
      </c>
      <c r="C902">
        <v>55000</v>
      </c>
      <c r="D902" t="s">
        <v>9</v>
      </c>
      <c r="E902" t="s">
        <v>15</v>
      </c>
      <c r="F902" t="s">
        <v>16</v>
      </c>
      <c r="G902" s="1">
        <v>43192</v>
      </c>
      <c r="H902" s="1" t="s">
        <v>12</v>
      </c>
      <c r="I902" s="1" t="s">
        <v>18</v>
      </c>
      <c r="J902" s="1" t="s">
        <v>19</v>
      </c>
      <c r="K902" s="4">
        <f t="shared" ca="1" si="70"/>
        <v>8</v>
      </c>
      <c r="L902" t="str">
        <f t="shared" si="71"/>
        <v>Low</v>
      </c>
      <c r="M902" t="str">
        <f t="shared" si="72"/>
        <v>Low</v>
      </c>
      <c r="N902" t="str">
        <f t="shared" si="73"/>
        <v>PIP</v>
      </c>
      <c r="O902" t="str">
        <f t="shared" ca="1" si="74"/>
        <v>Not Eligible</v>
      </c>
    </row>
    <row r="903" spans="1:15" x14ac:dyDescent="0.25">
      <c r="A903" t="s">
        <v>42</v>
      </c>
      <c r="B903">
        <v>50</v>
      </c>
      <c r="C903">
        <v>55000</v>
      </c>
      <c r="D903" t="s">
        <v>26</v>
      </c>
      <c r="E903" t="s">
        <v>10</v>
      </c>
      <c r="F903" t="s">
        <v>28</v>
      </c>
      <c r="G903" s="1">
        <v>43192</v>
      </c>
      <c r="H903" s="1" t="s">
        <v>21</v>
      </c>
      <c r="I903" s="1" t="s">
        <v>13</v>
      </c>
      <c r="J903" s="1" t="s">
        <v>19</v>
      </c>
      <c r="K903" s="4">
        <f t="shared" ca="1" si="70"/>
        <v>8</v>
      </c>
      <c r="L903" t="str">
        <f t="shared" si="71"/>
        <v>Low</v>
      </c>
      <c r="M903" t="str">
        <f t="shared" si="72"/>
        <v>Medium</v>
      </c>
      <c r="N903" t="str">
        <f t="shared" si="73"/>
        <v>No PIP</v>
      </c>
      <c r="O903" t="str">
        <f t="shared" ca="1" si="74"/>
        <v>Not Eligible</v>
      </c>
    </row>
    <row r="904" spans="1:15" x14ac:dyDescent="0.25">
      <c r="A904" t="s">
        <v>42</v>
      </c>
      <c r="B904">
        <v>40</v>
      </c>
      <c r="C904">
        <v>70000</v>
      </c>
      <c r="D904" t="s">
        <v>9</v>
      </c>
      <c r="E904" t="s">
        <v>20</v>
      </c>
      <c r="F904" t="s">
        <v>30</v>
      </c>
      <c r="G904" s="1">
        <v>43192</v>
      </c>
      <c r="H904" s="1" t="s">
        <v>17</v>
      </c>
      <c r="I904" s="1" t="s">
        <v>44</v>
      </c>
      <c r="J904" s="1" t="s">
        <v>19</v>
      </c>
      <c r="K904" s="4">
        <f t="shared" ca="1" si="70"/>
        <v>8</v>
      </c>
      <c r="L904" t="str">
        <f t="shared" si="71"/>
        <v>High</v>
      </c>
      <c r="M904" t="str">
        <f t="shared" si="72"/>
        <v>Low</v>
      </c>
      <c r="N904" t="str">
        <f t="shared" si="73"/>
        <v>PIP</v>
      </c>
      <c r="O904" t="str">
        <f t="shared" ca="1" si="74"/>
        <v>Not Eligible</v>
      </c>
    </row>
    <row r="905" spans="1:15" x14ac:dyDescent="0.25">
      <c r="A905" t="s">
        <v>38</v>
      </c>
      <c r="B905">
        <v>50</v>
      </c>
      <c r="C905">
        <v>55000</v>
      </c>
      <c r="D905" t="s">
        <v>26</v>
      </c>
      <c r="E905" t="s">
        <v>10</v>
      </c>
      <c r="F905" t="s">
        <v>30</v>
      </c>
      <c r="G905" s="1">
        <v>43192</v>
      </c>
      <c r="H905" s="1" t="s">
        <v>29</v>
      </c>
      <c r="I905" s="1" t="s">
        <v>13</v>
      </c>
      <c r="J905" s="1" t="s">
        <v>44</v>
      </c>
      <c r="K905" s="4">
        <f t="shared" ca="1" si="70"/>
        <v>8</v>
      </c>
      <c r="L905" t="str">
        <f t="shared" si="71"/>
        <v>Low</v>
      </c>
      <c r="M905" t="str">
        <f t="shared" si="72"/>
        <v>Medium</v>
      </c>
      <c r="N905" t="str">
        <f t="shared" si="73"/>
        <v>No PIP</v>
      </c>
      <c r="O905" t="str">
        <f t="shared" ca="1" si="74"/>
        <v>Not Eligible</v>
      </c>
    </row>
    <row r="906" spans="1:15" x14ac:dyDescent="0.25">
      <c r="A906" t="s">
        <v>34</v>
      </c>
      <c r="B906">
        <v>30</v>
      </c>
      <c r="C906">
        <v>70000</v>
      </c>
      <c r="D906" t="s">
        <v>26</v>
      </c>
      <c r="E906" t="s">
        <v>15</v>
      </c>
      <c r="F906" t="s">
        <v>30</v>
      </c>
      <c r="G906" s="1">
        <v>43192</v>
      </c>
      <c r="H906" s="1" t="s">
        <v>17</v>
      </c>
      <c r="I906" s="1" t="s">
        <v>44</v>
      </c>
      <c r="J906" s="1" t="s">
        <v>19</v>
      </c>
      <c r="K906" s="4">
        <f t="shared" ca="1" si="70"/>
        <v>8</v>
      </c>
      <c r="L906" t="str">
        <f t="shared" si="71"/>
        <v>High</v>
      </c>
      <c r="M906" t="str">
        <f t="shared" si="72"/>
        <v>Low</v>
      </c>
      <c r="N906" t="str">
        <f t="shared" si="73"/>
        <v>PIP</v>
      </c>
      <c r="O906" t="str">
        <f t="shared" ca="1" si="74"/>
        <v>Not Eligible</v>
      </c>
    </row>
    <row r="907" spans="1:15" x14ac:dyDescent="0.25">
      <c r="A907" t="s">
        <v>33</v>
      </c>
      <c r="B907">
        <v>50</v>
      </c>
      <c r="C907">
        <v>50000</v>
      </c>
      <c r="D907" t="s">
        <v>14</v>
      </c>
      <c r="E907" t="s">
        <v>27</v>
      </c>
      <c r="F907" t="s">
        <v>31</v>
      </c>
      <c r="G907" s="1">
        <v>43192</v>
      </c>
      <c r="H907" s="1" t="s">
        <v>21</v>
      </c>
      <c r="I907" s="1" t="s">
        <v>13</v>
      </c>
      <c r="J907" s="1" t="s">
        <v>32</v>
      </c>
      <c r="K907" s="4">
        <f t="shared" ca="1" si="70"/>
        <v>8</v>
      </c>
      <c r="L907" t="str">
        <f t="shared" si="71"/>
        <v>Low</v>
      </c>
      <c r="M907" t="str">
        <f t="shared" si="72"/>
        <v>Medium</v>
      </c>
      <c r="N907" t="str">
        <f t="shared" si="73"/>
        <v>No PIP</v>
      </c>
      <c r="O907" t="str">
        <f t="shared" ca="1" si="74"/>
        <v>Not Eligible</v>
      </c>
    </row>
    <row r="908" spans="1:15" x14ac:dyDescent="0.25">
      <c r="A908" t="s">
        <v>33</v>
      </c>
      <c r="B908">
        <v>50</v>
      </c>
      <c r="C908">
        <v>70000</v>
      </c>
      <c r="D908" t="s">
        <v>14</v>
      </c>
      <c r="E908" t="s">
        <v>20</v>
      </c>
      <c r="F908" t="s">
        <v>16</v>
      </c>
      <c r="G908" s="1">
        <v>43192</v>
      </c>
      <c r="H908" s="1" t="s">
        <v>17</v>
      </c>
      <c r="I908" s="1" t="s">
        <v>25</v>
      </c>
      <c r="J908" s="1" t="s">
        <v>32</v>
      </c>
      <c r="K908" s="4">
        <f t="shared" ca="1" si="70"/>
        <v>8</v>
      </c>
      <c r="L908" t="str">
        <f t="shared" si="71"/>
        <v>High</v>
      </c>
      <c r="M908" t="str">
        <f t="shared" si="72"/>
        <v>Low</v>
      </c>
      <c r="N908" t="str">
        <f t="shared" si="73"/>
        <v>PIP</v>
      </c>
      <c r="O908" t="str">
        <f t="shared" ca="1" si="74"/>
        <v>Not Eligible</v>
      </c>
    </row>
    <row r="909" spans="1:15" x14ac:dyDescent="0.25">
      <c r="A909" t="s">
        <v>37</v>
      </c>
      <c r="B909">
        <v>35</v>
      </c>
      <c r="C909">
        <v>60216</v>
      </c>
      <c r="D909" t="s">
        <v>9</v>
      </c>
      <c r="E909" t="s">
        <v>20</v>
      </c>
      <c r="F909" t="s">
        <v>30</v>
      </c>
      <c r="G909" s="1">
        <v>43192</v>
      </c>
      <c r="H909" s="1" t="s">
        <v>17</v>
      </c>
      <c r="I909" s="1" t="s">
        <v>18</v>
      </c>
      <c r="J909" s="1" t="s">
        <v>19</v>
      </c>
      <c r="K909" s="4">
        <f t="shared" ca="1" si="70"/>
        <v>8</v>
      </c>
      <c r="L909" t="str">
        <f t="shared" si="71"/>
        <v>Medium</v>
      </c>
      <c r="M909" t="str">
        <f t="shared" si="72"/>
        <v>Low</v>
      </c>
      <c r="N909" t="str">
        <f t="shared" si="73"/>
        <v>PIP</v>
      </c>
      <c r="O909" t="str">
        <f t="shared" ca="1" si="74"/>
        <v>Not Eligible</v>
      </c>
    </row>
    <row r="910" spans="1:15" x14ac:dyDescent="0.25">
      <c r="A910" t="s">
        <v>39</v>
      </c>
      <c r="B910">
        <v>35</v>
      </c>
      <c r="C910">
        <v>60216</v>
      </c>
      <c r="D910" t="s">
        <v>14</v>
      </c>
      <c r="E910" t="s">
        <v>20</v>
      </c>
      <c r="F910" t="s">
        <v>30</v>
      </c>
      <c r="G910" s="1">
        <v>43192</v>
      </c>
      <c r="H910" s="1" t="s">
        <v>29</v>
      </c>
      <c r="I910" s="1" t="s">
        <v>25</v>
      </c>
      <c r="J910" s="1" t="s">
        <v>19</v>
      </c>
      <c r="K910" s="4">
        <f t="shared" ca="1" si="70"/>
        <v>8</v>
      </c>
      <c r="L910" t="str">
        <f t="shared" si="71"/>
        <v>Medium</v>
      </c>
      <c r="M910" t="str">
        <f t="shared" si="72"/>
        <v>Medium</v>
      </c>
      <c r="N910" t="str">
        <f t="shared" si="73"/>
        <v>No PIP</v>
      </c>
      <c r="O910" t="str">
        <f t="shared" ca="1" si="74"/>
        <v>Not Eligible</v>
      </c>
    </row>
    <row r="911" spans="1:15" x14ac:dyDescent="0.25">
      <c r="A911" t="s">
        <v>38</v>
      </c>
      <c r="B911">
        <v>40</v>
      </c>
      <c r="C911">
        <v>50000</v>
      </c>
      <c r="D911" t="s">
        <v>26</v>
      </c>
      <c r="E911" t="s">
        <v>20</v>
      </c>
      <c r="F911" t="s">
        <v>30</v>
      </c>
      <c r="G911" s="1">
        <v>43192</v>
      </c>
      <c r="H911" s="1" t="s">
        <v>17</v>
      </c>
      <c r="I911" s="1" t="s">
        <v>18</v>
      </c>
      <c r="J911" s="1" t="s">
        <v>22</v>
      </c>
      <c r="K911" s="4">
        <f t="shared" ca="1" si="70"/>
        <v>8</v>
      </c>
      <c r="L911" t="str">
        <f t="shared" si="71"/>
        <v>Low</v>
      </c>
      <c r="M911" t="str">
        <f t="shared" si="72"/>
        <v>Low</v>
      </c>
      <c r="N911" t="str">
        <f t="shared" si="73"/>
        <v>PIP</v>
      </c>
      <c r="O911" t="str">
        <f t="shared" ca="1" si="74"/>
        <v>Not Eligible</v>
      </c>
    </row>
    <row r="912" spans="1:15" x14ac:dyDescent="0.25">
      <c r="A912" t="s">
        <v>38</v>
      </c>
      <c r="B912">
        <v>30</v>
      </c>
      <c r="C912">
        <v>55000</v>
      </c>
      <c r="D912" t="s">
        <v>26</v>
      </c>
      <c r="E912" t="s">
        <v>20</v>
      </c>
      <c r="F912" t="s">
        <v>30</v>
      </c>
      <c r="G912" s="1">
        <v>43192</v>
      </c>
      <c r="H912" s="1" t="s">
        <v>24</v>
      </c>
      <c r="I912" s="1" t="s">
        <v>13</v>
      </c>
      <c r="J912" s="1" t="s">
        <v>22</v>
      </c>
      <c r="K912" s="4">
        <f t="shared" ca="1" si="70"/>
        <v>8</v>
      </c>
      <c r="L912" t="str">
        <f t="shared" si="71"/>
        <v>Low</v>
      </c>
      <c r="M912" t="str">
        <f t="shared" si="72"/>
        <v>High</v>
      </c>
      <c r="N912" t="str">
        <f t="shared" si="73"/>
        <v>No PIP</v>
      </c>
      <c r="O912" t="str">
        <f t="shared" ca="1" si="74"/>
        <v>Eligible</v>
      </c>
    </row>
    <row r="913" spans="1:15" x14ac:dyDescent="0.25">
      <c r="A913" t="s">
        <v>41</v>
      </c>
      <c r="B913">
        <v>30</v>
      </c>
      <c r="C913">
        <v>60000</v>
      </c>
      <c r="D913" t="s">
        <v>9</v>
      </c>
      <c r="E913" t="s">
        <v>15</v>
      </c>
      <c r="F913" t="s">
        <v>28</v>
      </c>
      <c r="G913" s="1">
        <v>43192</v>
      </c>
      <c r="H913" s="1" t="s">
        <v>17</v>
      </c>
      <c r="I913" s="1" t="s">
        <v>44</v>
      </c>
      <c r="J913" s="1" t="s">
        <v>44</v>
      </c>
      <c r="K913" s="4">
        <f t="shared" ca="1" si="70"/>
        <v>8</v>
      </c>
      <c r="L913" t="str">
        <f t="shared" si="71"/>
        <v>Medium</v>
      </c>
      <c r="M913" t="str">
        <f t="shared" si="72"/>
        <v>Low</v>
      </c>
      <c r="N913" t="str">
        <f t="shared" si="73"/>
        <v>PIP</v>
      </c>
      <c r="O913" t="str">
        <f t="shared" ca="1" si="74"/>
        <v>Not Eligible</v>
      </c>
    </row>
    <row r="914" spans="1:15" x14ac:dyDescent="0.25">
      <c r="A914" t="s">
        <v>41</v>
      </c>
      <c r="B914">
        <v>35</v>
      </c>
      <c r="C914">
        <v>70000</v>
      </c>
      <c r="D914" t="s">
        <v>14</v>
      </c>
      <c r="E914" t="s">
        <v>27</v>
      </c>
      <c r="F914" t="s">
        <v>31</v>
      </c>
      <c r="G914" s="1">
        <v>43192</v>
      </c>
      <c r="H914" s="1" t="s">
        <v>29</v>
      </c>
      <c r="I914" s="1" t="s">
        <v>25</v>
      </c>
      <c r="J914" s="1" t="s">
        <v>32</v>
      </c>
      <c r="K914" s="4">
        <f t="shared" ca="1" si="70"/>
        <v>8</v>
      </c>
      <c r="L914" t="str">
        <f t="shared" si="71"/>
        <v>High</v>
      </c>
      <c r="M914" t="str">
        <f t="shared" si="72"/>
        <v>Medium</v>
      </c>
      <c r="N914" t="str">
        <f t="shared" si="73"/>
        <v>No PIP</v>
      </c>
      <c r="O914" t="str">
        <f t="shared" ca="1" si="74"/>
        <v>Not Eligible</v>
      </c>
    </row>
    <row r="915" spans="1:15" x14ac:dyDescent="0.25">
      <c r="A915" t="s">
        <v>39</v>
      </c>
      <c r="B915">
        <v>30</v>
      </c>
      <c r="C915">
        <v>50000</v>
      </c>
      <c r="D915" t="s">
        <v>9</v>
      </c>
      <c r="E915" t="s">
        <v>27</v>
      </c>
      <c r="F915" t="s">
        <v>28</v>
      </c>
      <c r="G915" s="1">
        <v>43192</v>
      </c>
      <c r="H915" s="1" t="s">
        <v>17</v>
      </c>
      <c r="I915" s="1" t="s">
        <v>44</v>
      </c>
      <c r="J915" s="1" t="s">
        <v>44</v>
      </c>
      <c r="K915" s="4">
        <f t="shared" ca="1" si="70"/>
        <v>8</v>
      </c>
      <c r="L915" t="str">
        <f t="shared" si="71"/>
        <v>Low</v>
      </c>
      <c r="M915" t="str">
        <f t="shared" si="72"/>
        <v>Low</v>
      </c>
      <c r="N915" t="str">
        <f t="shared" si="73"/>
        <v>PIP</v>
      </c>
      <c r="O915" t="str">
        <f t="shared" ca="1" si="74"/>
        <v>Not Eligible</v>
      </c>
    </row>
    <row r="916" spans="1:15" x14ac:dyDescent="0.25">
      <c r="A916" t="s">
        <v>36</v>
      </c>
      <c r="B916">
        <v>40</v>
      </c>
      <c r="C916">
        <v>60000</v>
      </c>
      <c r="D916" t="s">
        <v>9</v>
      </c>
      <c r="E916" t="s">
        <v>15</v>
      </c>
      <c r="F916" t="s">
        <v>31</v>
      </c>
      <c r="G916" s="1">
        <v>43192</v>
      </c>
      <c r="H916" s="1" t="s">
        <v>24</v>
      </c>
      <c r="I916" s="1" t="s">
        <v>13</v>
      </c>
      <c r="J916" s="1" t="s">
        <v>19</v>
      </c>
      <c r="K916" s="4">
        <f t="shared" ca="1" si="70"/>
        <v>8</v>
      </c>
      <c r="L916" t="str">
        <f t="shared" si="71"/>
        <v>Medium</v>
      </c>
      <c r="M916" t="str">
        <f t="shared" si="72"/>
        <v>High</v>
      </c>
      <c r="N916" t="str">
        <f t="shared" si="73"/>
        <v>No PIP</v>
      </c>
      <c r="O916" t="str">
        <f t="shared" ca="1" si="74"/>
        <v>Eligible</v>
      </c>
    </row>
    <row r="917" spans="1:15" x14ac:dyDescent="0.25">
      <c r="A917" t="s">
        <v>37</v>
      </c>
      <c r="B917">
        <v>30</v>
      </c>
      <c r="C917">
        <v>55000</v>
      </c>
      <c r="D917" t="s">
        <v>14</v>
      </c>
      <c r="E917" t="s">
        <v>20</v>
      </c>
      <c r="F917" t="s">
        <v>11</v>
      </c>
      <c r="G917" s="1">
        <v>43192</v>
      </c>
      <c r="H917" s="1" t="s">
        <v>12</v>
      </c>
      <c r="I917" s="1" t="s">
        <v>25</v>
      </c>
      <c r="J917" s="1" t="s">
        <v>19</v>
      </c>
      <c r="K917" s="4">
        <f t="shared" ca="1" si="70"/>
        <v>8</v>
      </c>
      <c r="L917" t="str">
        <f t="shared" si="71"/>
        <v>Low</v>
      </c>
      <c r="M917" t="str">
        <f t="shared" si="72"/>
        <v>Low</v>
      </c>
      <c r="N917" t="str">
        <f t="shared" si="73"/>
        <v>PIP</v>
      </c>
      <c r="O917" t="str">
        <f t="shared" ca="1" si="74"/>
        <v>Not Eligible</v>
      </c>
    </row>
    <row r="918" spans="1:15" x14ac:dyDescent="0.25">
      <c r="A918" t="s">
        <v>39</v>
      </c>
      <c r="B918">
        <v>30</v>
      </c>
      <c r="C918">
        <v>50000</v>
      </c>
      <c r="D918" t="s">
        <v>9</v>
      </c>
      <c r="E918" t="s">
        <v>10</v>
      </c>
      <c r="F918" t="s">
        <v>31</v>
      </c>
      <c r="G918" s="1">
        <v>43192</v>
      </c>
      <c r="H918" s="1" t="s">
        <v>21</v>
      </c>
      <c r="I918" s="1" t="s">
        <v>44</v>
      </c>
      <c r="J918" s="1" t="s">
        <v>44</v>
      </c>
      <c r="K918" s="4">
        <f t="shared" ca="1" si="70"/>
        <v>8</v>
      </c>
      <c r="L918" t="str">
        <f t="shared" si="71"/>
        <v>Low</v>
      </c>
      <c r="M918" t="str">
        <f t="shared" si="72"/>
        <v>Medium</v>
      </c>
      <c r="N918" t="str">
        <f t="shared" si="73"/>
        <v>No PIP</v>
      </c>
      <c r="O918" t="str">
        <f t="shared" ca="1" si="74"/>
        <v>Not Eligible</v>
      </c>
    </row>
    <row r="919" spans="1:15" x14ac:dyDescent="0.25">
      <c r="A919" t="s">
        <v>41</v>
      </c>
      <c r="B919">
        <v>35</v>
      </c>
      <c r="C919">
        <v>50000</v>
      </c>
      <c r="D919" t="s">
        <v>26</v>
      </c>
      <c r="E919" t="s">
        <v>10</v>
      </c>
      <c r="F919" t="s">
        <v>30</v>
      </c>
      <c r="G919" s="1">
        <v>43192</v>
      </c>
      <c r="H919" s="1" t="s">
        <v>29</v>
      </c>
      <c r="I919" s="1" t="s">
        <v>44</v>
      </c>
      <c r="J919" s="1" t="s">
        <v>19</v>
      </c>
      <c r="K919" s="4">
        <f t="shared" ca="1" si="70"/>
        <v>8</v>
      </c>
      <c r="L919" t="str">
        <f t="shared" si="71"/>
        <v>Low</v>
      </c>
      <c r="M919" t="str">
        <f t="shared" si="72"/>
        <v>Medium</v>
      </c>
      <c r="N919" t="str">
        <f t="shared" si="73"/>
        <v>No PIP</v>
      </c>
      <c r="O919" t="str">
        <f t="shared" ca="1" si="74"/>
        <v>Not Eligible</v>
      </c>
    </row>
    <row r="920" spans="1:15" x14ac:dyDescent="0.25">
      <c r="A920" t="s">
        <v>42</v>
      </c>
      <c r="B920">
        <v>25</v>
      </c>
      <c r="C920">
        <v>70000</v>
      </c>
      <c r="D920" t="s">
        <v>26</v>
      </c>
      <c r="E920" t="s">
        <v>15</v>
      </c>
      <c r="F920" t="s">
        <v>31</v>
      </c>
      <c r="G920" s="1">
        <v>43192</v>
      </c>
      <c r="H920" s="1" t="s">
        <v>24</v>
      </c>
      <c r="I920" s="1" t="s">
        <v>44</v>
      </c>
      <c r="J920" s="1" t="s">
        <v>22</v>
      </c>
      <c r="K920" s="4">
        <f t="shared" ca="1" si="70"/>
        <v>8</v>
      </c>
      <c r="L920" t="str">
        <f t="shared" si="71"/>
        <v>High</v>
      </c>
      <c r="M920" t="str">
        <f t="shared" si="72"/>
        <v>High</v>
      </c>
      <c r="N920" t="str">
        <f t="shared" si="73"/>
        <v>No PIP</v>
      </c>
      <c r="O920" t="str">
        <f t="shared" ca="1" si="74"/>
        <v>Eligible</v>
      </c>
    </row>
    <row r="921" spans="1:15" x14ac:dyDescent="0.25">
      <c r="A921" t="s">
        <v>35</v>
      </c>
      <c r="B921">
        <v>25</v>
      </c>
      <c r="C921">
        <v>55000</v>
      </c>
      <c r="D921" t="s">
        <v>9</v>
      </c>
      <c r="E921" t="s">
        <v>10</v>
      </c>
      <c r="F921" t="s">
        <v>16</v>
      </c>
      <c r="G921" s="1">
        <v>43192</v>
      </c>
      <c r="H921" s="1" t="s">
        <v>17</v>
      </c>
      <c r="I921" s="1" t="s">
        <v>44</v>
      </c>
      <c r="J921" s="1" t="s">
        <v>32</v>
      </c>
      <c r="K921" s="4">
        <f t="shared" ca="1" si="70"/>
        <v>8</v>
      </c>
      <c r="L921" t="str">
        <f t="shared" si="71"/>
        <v>Low</v>
      </c>
      <c r="M921" t="str">
        <f t="shared" si="72"/>
        <v>Low</v>
      </c>
      <c r="N921" t="str">
        <f t="shared" si="73"/>
        <v>PIP</v>
      </c>
      <c r="O921" t="str">
        <f t="shared" ca="1" si="74"/>
        <v>Not Eligible</v>
      </c>
    </row>
    <row r="922" spans="1:15" x14ac:dyDescent="0.25">
      <c r="A922" t="s">
        <v>36</v>
      </c>
      <c r="B922">
        <v>40</v>
      </c>
      <c r="C922">
        <v>65000</v>
      </c>
      <c r="D922" t="s">
        <v>26</v>
      </c>
      <c r="E922" t="s">
        <v>10</v>
      </c>
      <c r="F922" t="s">
        <v>16</v>
      </c>
      <c r="G922" s="1">
        <v>43192</v>
      </c>
      <c r="H922" s="1" t="s">
        <v>24</v>
      </c>
      <c r="I922" s="1" t="s">
        <v>18</v>
      </c>
      <c r="J922" s="1" t="s">
        <v>32</v>
      </c>
      <c r="K922" s="4">
        <f t="shared" ca="1" si="70"/>
        <v>8</v>
      </c>
      <c r="L922" t="str">
        <f t="shared" si="71"/>
        <v>High</v>
      </c>
      <c r="M922" t="str">
        <f t="shared" si="72"/>
        <v>High</v>
      </c>
      <c r="N922" t="str">
        <f t="shared" si="73"/>
        <v>No PIP</v>
      </c>
      <c r="O922" t="str">
        <f t="shared" ca="1" si="74"/>
        <v>Eligible</v>
      </c>
    </row>
    <row r="923" spans="1:15" x14ac:dyDescent="0.25">
      <c r="A923" t="s">
        <v>39</v>
      </c>
      <c r="B923">
        <v>50</v>
      </c>
      <c r="C923">
        <v>70000</v>
      </c>
      <c r="D923" t="s">
        <v>9</v>
      </c>
      <c r="E923" t="s">
        <v>10</v>
      </c>
      <c r="F923" t="s">
        <v>16</v>
      </c>
      <c r="G923" s="1">
        <v>43192</v>
      </c>
      <c r="H923" s="1" t="s">
        <v>17</v>
      </c>
      <c r="I923" s="1" t="s">
        <v>18</v>
      </c>
      <c r="J923" s="1" t="s">
        <v>19</v>
      </c>
      <c r="K923" s="4">
        <f t="shared" ca="1" si="70"/>
        <v>8</v>
      </c>
      <c r="L923" t="str">
        <f t="shared" si="71"/>
        <v>High</v>
      </c>
      <c r="M923" t="str">
        <f t="shared" si="72"/>
        <v>Low</v>
      </c>
      <c r="N923" t="str">
        <f t="shared" si="73"/>
        <v>PIP</v>
      </c>
      <c r="O923" t="str">
        <f t="shared" ca="1" si="74"/>
        <v>Not Eligible</v>
      </c>
    </row>
    <row r="924" spans="1:15" x14ac:dyDescent="0.25">
      <c r="A924" t="s">
        <v>36</v>
      </c>
      <c r="B924">
        <v>35</v>
      </c>
      <c r="C924">
        <v>60216</v>
      </c>
      <c r="D924" t="s">
        <v>14</v>
      </c>
      <c r="E924" t="s">
        <v>10</v>
      </c>
      <c r="F924" t="s">
        <v>31</v>
      </c>
      <c r="G924" s="1">
        <v>43192</v>
      </c>
      <c r="H924" s="1" t="s">
        <v>24</v>
      </c>
      <c r="I924" s="1" t="s">
        <v>18</v>
      </c>
      <c r="J924" s="1" t="s">
        <v>44</v>
      </c>
      <c r="K924" s="4">
        <f t="shared" ca="1" si="70"/>
        <v>8</v>
      </c>
      <c r="L924" t="str">
        <f t="shared" si="71"/>
        <v>Medium</v>
      </c>
      <c r="M924" t="str">
        <f t="shared" si="72"/>
        <v>High</v>
      </c>
      <c r="N924" t="str">
        <f t="shared" si="73"/>
        <v>No PIP</v>
      </c>
      <c r="O924" t="str">
        <f t="shared" ca="1" si="74"/>
        <v>Eligible</v>
      </c>
    </row>
    <row r="925" spans="1:15" x14ac:dyDescent="0.25">
      <c r="A925" t="s">
        <v>41</v>
      </c>
      <c r="B925">
        <v>35</v>
      </c>
      <c r="C925">
        <v>50000</v>
      </c>
      <c r="D925" t="s">
        <v>14</v>
      </c>
      <c r="E925" t="s">
        <v>10</v>
      </c>
      <c r="F925" t="s">
        <v>30</v>
      </c>
      <c r="G925" s="1">
        <v>43192</v>
      </c>
      <c r="H925" s="1" t="s">
        <v>24</v>
      </c>
      <c r="I925" s="1" t="s">
        <v>25</v>
      </c>
      <c r="J925" s="1" t="s">
        <v>44</v>
      </c>
      <c r="K925" s="4">
        <f t="shared" ca="1" si="70"/>
        <v>8</v>
      </c>
      <c r="L925" t="str">
        <f t="shared" si="71"/>
        <v>Low</v>
      </c>
      <c r="M925" t="str">
        <f t="shared" si="72"/>
        <v>High</v>
      </c>
      <c r="N925" t="str">
        <f t="shared" si="73"/>
        <v>No PIP</v>
      </c>
      <c r="O925" t="str">
        <f t="shared" ca="1" si="74"/>
        <v>Eligible</v>
      </c>
    </row>
    <row r="926" spans="1:15" x14ac:dyDescent="0.25">
      <c r="A926" t="s">
        <v>36</v>
      </c>
      <c r="B926">
        <v>35</v>
      </c>
      <c r="C926">
        <v>60000</v>
      </c>
      <c r="D926" t="s">
        <v>9</v>
      </c>
      <c r="E926" t="s">
        <v>10</v>
      </c>
      <c r="F926" t="s">
        <v>16</v>
      </c>
      <c r="G926" s="1">
        <v>43192</v>
      </c>
      <c r="H926" s="1" t="s">
        <v>17</v>
      </c>
      <c r="I926" s="1" t="s">
        <v>25</v>
      </c>
      <c r="J926" s="1" t="s">
        <v>22</v>
      </c>
      <c r="K926" s="4">
        <f t="shared" ca="1" si="70"/>
        <v>8</v>
      </c>
      <c r="L926" t="str">
        <f t="shared" si="71"/>
        <v>Medium</v>
      </c>
      <c r="M926" t="str">
        <f t="shared" si="72"/>
        <v>Low</v>
      </c>
      <c r="N926" t="str">
        <f t="shared" si="73"/>
        <v>PIP</v>
      </c>
      <c r="O926" t="str">
        <f t="shared" ca="1" si="74"/>
        <v>Not Eligible</v>
      </c>
    </row>
    <row r="927" spans="1:15" x14ac:dyDescent="0.25">
      <c r="A927" t="s">
        <v>38</v>
      </c>
      <c r="B927">
        <v>25</v>
      </c>
      <c r="C927">
        <v>55000</v>
      </c>
      <c r="D927" t="s">
        <v>9</v>
      </c>
      <c r="E927" t="s">
        <v>27</v>
      </c>
      <c r="F927" t="s">
        <v>28</v>
      </c>
      <c r="G927" s="1">
        <v>43192</v>
      </c>
      <c r="H927" s="1" t="s">
        <v>12</v>
      </c>
      <c r="I927" s="1" t="s">
        <v>44</v>
      </c>
      <c r="J927" s="1" t="s">
        <v>32</v>
      </c>
      <c r="K927" s="4">
        <f t="shared" ca="1" si="70"/>
        <v>8</v>
      </c>
      <c r="L927" t="str">
        <f t="shared" si="71"/>
        <v>Low</v>
      </c>
      <c r="M927" t="str">
        <f t="shared" si="72"/>
        <v>Low</v>
      </c>
      <c r="N927" t="str">
        <f t="shared" si="73"/>
        <v>PIP</v>
      </c>
      <c r="O927" t="str">
        <f t="shared" ca="1" si="74"/>
        <v>Not Eligible</v>
      </c>
    </row>
    <row r="928" spans="1:15" x14ac:dyDescent="0.25">
      <c r="A928" t="s">
        <v>37</v>
      </c>
      <c r="B928">
        <v>25</v>
      </c>
      <c r="C928">
        <v>60000</v>
      </c>
      <c r="D928" t="s">
        <v>26</v>
      </c>
      <c r="E928" t="s">
        <v>20</v>
      </c>
      <c r="F928" t="s">
        <v>16</v>
      </c>
      <c r="G928" s="1">
        <v>43192</v>
      </c>
      <c r="H928" s="1" t="s">
        <v>24</v>
      </c>
      <c r="I928" s="1" t="s">
        <v>25</v>
      </c>
      <c r="J928" s="1" t="s">
        <v>19</v>
      </c>
      <c r="K928" s="4">
        <f t="shared" ca="1" si="70"/>
        <v>8</v>
      </c>
      <c r="L928" t="str">
        <f t="shared" si="71"/>
        <v>Medium</v>
      </c>
      <c r="M928" t="str">
        <f t="shared" si="72"/>
        <v>High</v>
      </c>
      <c r="N928" t="str">
        <f t="shared" si="73"/>
        <v>No PIP</v>
      </c>
      <c r="O928" t="str">
        <f t="shared" ca="1" si="74"/>
        <v>Eligible</v>
      </c>
    </row>
    <row r="929" spans="1:15" x14ac:dyDescent="0.25">
      <c r="A929" t="s">
        <v>38</v>
      </c>
      <c r="B929">
        <v>25</v>
      </c>
      <c r="C929">
        <v>55000</v>
      </c>
      <c r="D929" t="s">
        <v>14</v>
      </c>
      <c r="E929" t="s">
        <v>20</v>
      </c>
      <c r="F929" t="s">
        <v>16</v>
      </c>
      <c r="G929" s="1">
        <v>43192</v>
      </c>
      <c r="H929" s="1" t="s">
        <v>29</v>
      </c>
      <c r="I929" s="1" t="s">
        <v>25</v>
      </c>
      <c r="J929" s="1" t="s">
        <v>19</v>
      </c>
      <c r="K929" s="4">
        <f t="shared" ca="1" si="70"/>
        <v>8</v>
      </c>
      <c r="L929" t="str">
        <f t="shared" si="71"/>
        <v>Low</v>
      </c>
      <c r="M929" t="str">
        <f t="shared" si="72"/>
        <v>Medium</v>
      </c>
      <c r="N929" t="str">
        <f t="shared" si="73"/>
        <v>No PIP</v>
      </c>
      <c r="O929" t="str">
        <f t="shared" ca="1" si="74"/>
        <v>Not Eligible</v>
      </c>
    </row>
    <row r="930" spans="1:15" x14ac:dyDescent="0.25">
      <c r="A930" t="s">
        <v>36</v>
      </c>
      <c r="B930">
        <v>30</v>
      </c>
      <c r="C930">
        <v>70000</v>
      </c>
      <c r="D930" t="s">
        <v>14</v>
      </c>
      <c r="E930" t="s">
        <v>20</v>
      </c>
      <c r="F930" t="s">
        <v>11</v>
      </c>
      <c r="G930" s="1">
        <v>43192</v>
      </c>
      <c r="H930" s="1" t="s">
        <v>17</v>
      </c>
      <c r="I930" s="1" t="s">
        <v>25</v>
      </c>
      <c r="J930" s="1" t="s">
        <v>44</v>
      </c>
      <c r="K930" s="4">
        <f t="shared" ca="1" si="70"/>
        <v>8</v>
      </c>
      <c r="L930" t="str">
        <f t="shared" si="71"/>
        <v>High</v>
      </c>
      <c r="M930" t="str">
        <f t="shared" si="72"/>
        <v>Low</v>
      </c>
      <c r="N930" t="str">
        <f t="shared" si="73"/>
        <v>PIP</v>
      </c>
      <c r="O930" t="str">
        <f t="shared" ca="1" si="74"/>
        <v>Not Eligible</v>
      </c>
    </row>
    <row r="931" spans="1:15" x14ac:dyDescent="0.25">
      <c r="A931" t="s">
        <v>40</v>
      </c>
      <c r="B931">
        <v>40</v>
      </c>
      <c r="C931">
        <v>60216</v>
      </c>
      <c r="D931" t="s">
        <v>26</v>
      </c>
      <c r="E931" t="s">
        <v>27</v>
      </c>
      <c r="F931" t="s">
        <v>28</v>
      </c>
      <c r="G931" s="1">
        <v>43192</v>
      </c>
      <c r="H931" s="1" t="s">
        <v>21</v>
      </c>
      <c r="I931" s="1" t="s">
        <v>44</v>
      </c>
      <c r="J931" s="1" t="s">
        <v>19</v>
      </c>
      <c r="K931" s="4">
        <f t="shared" ca="1" si="70"/>
        <v>8</v>
      </c>
      <c r="L931" t="str">
        <f t="shared" si="71"/>
        <v>Medium</v>
      </c>
      <c r="M931" t="str">
        <f t="shared" si="72"/>
        <v>Medium</v>
      </c>
      <c r="N931" t="str">
        <f t="shared" si="73"/>
        <v>No PIP</v>
      </c>
      <c r="O931" t="str">
        <f t="shared" ca="1" si="74"/>
        <v>Not Eligible</v>
      </c>
    </row>
    <row r="932" spans="1:15" x14ac:dyDescent="0.25">
      <c r="A932" t="s">
        <v>35</v>
      </c>
      <c r="B932">
        <v>35</v>
      </c>
      <c r="C932">
        <v>65000</v>
      </c>
      <c r="D932" t="s">
        <v>26</v>
      </c>
      <c r="E932" t="s">
        <v>15</v>
      </c>
      <c r="F932" t="s">
        <v>28</v>
      </c>
      <c r="G932" s="1">
        <v>43192</v>
      </c>
      <c r="H932" s="1" t="s">
        <v>24</v>
      </c>
      <c r="I932" s="1" t="s">
        <v>44</v>
      </c>
      <c r="J932" s="1" t="s">
        <v>32</v>
      </c>
      <c r="K932" s="4">
        <f t="shared" ca="1" si="70"/>
        <v>8</v>
      </c>
      <c r="L932" t="str">
        <f t="shared" si="71"/>
        <v>High</v>
      </c>
      <c r="M932" t="str">
        <f t="shared" si="72"/>
        <v>High</v>
      </c>
      <c r="N932" t="str">
        <f t="shared" si="73"/>
        <v>No PIP</v>
      </c>
      <c r="O932" t="str">
        <f t="shared" ca="1" si="74"/>
        <v>Eligible</v>
      </c>
    </row>
    <row r="933" spans="1:15" x14ac:dyDescent="0.25">
      <c r="A933" t="s">
        <v>41</v>
      </c>
      <c r="B933">
        <v>30</v>
      </c>
      <c r="C933">
        <v>60000</v>
      </c>
      <c r="D933" t="s">
        <v>9</v>
      </c>
      <c r="E933" t="s">
        <v>10</v>
      </c>
      <c r="F933" t="s">
        <v>30</v>
      </c>
      <c r="G933" s="1">
        <v>43192</v>
      </c>
      <c r="H933" s="1" t="s">
        <v>29</v>
      </c>
      <c r="I933" s="1" t="s">
        <v>25</v>
      </c>
      <c r="J933" s="1" t="s">
        <v>44</v>
      </c>
      <c r="K933" s="4">
        <f t="shared" ca="1" si="70"/>
        <v>8</v>
      </c>
      <c r="L933" t="str">
        <f t="shared" si="71"/>
        <v>Medium</v>
      </c>
      <c r="M933" t="str">
        <f t="shared" si="72"/>
        <v>Medium</v>
      </c>
      <c r="N933" t="str">
        <f t="shared" si="73"/>
        <v>No PIP</v>
      </c>
      <c r="O933" t="str">
        <f t="shared" ca="1" si="74"/>
        <v>Not Eligible</v>
      </c>
    </row>
    <row r="934" spans="1:15" x14ac:dyDescent="0.25">
      <c r="A934" t="s">
        <v>36</v>
      </c>
      <c r="B934">
        <v>35</v>
      </c>
      <c r="C934">
        <v>60216</v>
      </c>
      <c r="D934" t="s">
        <v>9</v>
      </c>
      <c r="E934" t="s">
        <v>27</v>
      </c>
      <c r="F934" t="s">
        <v>16</v>
      </c>
      <c r="G934" s="1">
        <v>43192</v>
      </c>
      <c r="H934" s="1" t="s">
        <v>12</v>
      </c>
      <c r="I934" s="1" t="s">
        <v>13</v>
      </c>
      <c r="J934" s="1" t="s">
        <v>32</v>
      </c>
      <c r="K934" s="4">
        <f t="shared" ca="1" si="70"/>
        <v>8</v>
      </c>
      <c r="L934" t="str">
        <f t="shared" si="71"/>
        <v>Medium</v>
      </c>
      <c r="M934" t="str">
        <f t="shared" si="72"/>
        <v>Low</v>
      </c>
      <c r="N934" t="str">
        <f t="shared" si="73"/>
        <v>PIP</v>
      </c>
      <c r="O934" t="str">
        <f t="shared" ca="1" si="74"/>
        <v>Not Eligible</v>
      </c>
    </row>
    <row r="935" spans="1:15" x14ac:dyDescent="0.25">
      <c r="A935" t="s">
        <v>42</v>
      </c>
      <c r="B935">
        <v>50</v>
      </c>
      <c r="C935">
        <v>60000</v>
      </c>
      <c r="D935" t="s">
        <v>9</v>
      </c>
      <c r="E935" t="s">
        <v>27</v>
      </c>
      <c r="F935" t="s">
        <v>11</v>
      </c>
      <c r="G935" s="1">
        <v>43192</v>
      </c>
      <c r="H935" s="1" t="s">
        <v>29</v>
      </c>
      <c r="I935" s="1" t="s">
        <v>44</v>
      </c>
      <c r="J935" s="1" t="s">
        <v>44</v>
      </c>
      <c r="K935" s="4">
        <f t="shared" ca="1" si="70"/>
        <v>8</v>
      </c>
      <c r="L935" t="str">
        <f t="shared" si="71"/>
        <v>Medium</v>
      </c>
      <c r="M935" t="str">
        <f t="shared" si="72"/>
        <v>Medium</v>
      </c>
      <c r="N935" t="str">
        <f t="shared" si="73"/>
        <v>No PIP</v>
      </c>
      <c r="O935" t="str">
        <f t="shared" ca="1" si="74"/>
        <v>Not Eligible</v>
      </c>
    </row>
    <row r="936" spans="1:15" x14ac:dyDescent="0.25">
      <c r="A936" t="s">
        <v>40</v>
      </c>
      <c r="B936">
        <v>50</v>
      </c>
      <c r="C936">
        <v>65000</v>
      </c>
      <c r="D936" t="s">
        <v>9</v>
      </c>
      <c r="E936" t="s">
        <v>10</v>
      </c>
      <c r="F936" t="s">
        <v>16</v>
      </c>
      <c r="G936" s="1">
        <v>43192</v>
      </c>
      <c r="H936" s="1" t="s">
        <v>17</v>
      </c>
      <c r="I936" s="1" t="s">
        <v>25</v>
      </c>
      <c r="J936" s="1" t="s">
        <v>32</v>
      </c>
      <c r="K936" s="4">
        <f t="shared" ca="1" si="70"/>
        <v>8</v>
      </c>
      <c r="L936" t="str">
        <f t="shared" si="71"/>
        <v>High</v>
      </c>
      <c r="M936" t="str">
        <f t="shared" si="72"/>
        <v>Low</v>
      </c>
      <c r="N936" t="str">
        <f t="shared" si="73"/>
        <v>PIP</v>
      </c>
      <c r="O936" t="str">
        <f t="shared" ca="1" si="74"/>
        <v>Not Eligible</v>
      </c>
    </row>
    <row r="937" spans="1:15" x14ac:dyDescent="0.25">
      <c r="A937" t="s">
        <v>33</v>
      </c>
      <c r="B937">
        <v>35</v>
      </c>
      <c r="C937">
        <v>55000</v>
      </c>
      <c r="D937" t="s">
        <v>9</v>
      </c>
      <c r="E937" t="s">
        <v>23</v>
      </c>
      <c r="F937" t="s">
        <v>28</v>
      </c>
      <c r="G937" s="1">
        <v>43192</v>
      </c>
      <c r="H937" s="1" t="s">
        <v>12</v>
      </c>
      <c r="I937" s="1" t="s">
        <v>13</v>
      </c>
      <c r="J937" s="1" t="s">
        <v>44</v>
      </c>
      <c r="K937" s="4">
        <f t="shared" ca="1" si="70"/>
        <v>8</v>
      </c>
      <c r="L937" t="str">
        <f t="shared" si="71"/>
        <v>Low</v>
      </c>
      <c r="M937" t="str">
        <f t="shared" si="72"/>
        <v>Low</v>
      </c>
      <c r="N937" t="str">
        <f t="shared" si="73"/>
        <v>PIP</v>
      </c>
      <c r="O937" t="str">
        <f t="shared" ca="1" si="74"/>
        <v>Not Eligible</v>
      </c>
    </row>
    <row r="938" spans="1:15" x14ac:dyDescent="0.25">
      <c r="A938" t="s">
        <v>40</v>
      </c>
      <c r="B938">
        <v>25</v>
      </c>
      <c r="C938">
        <v>60000</v>
      </c>
      <c r="D938" t="s">
        <v>9</v>
      </c>
      <c r="E938" t="s">
        <v>20</v>
      </c>
      <c r="F938" t="s">
        <v>11</v>
      </c>
      <c r="G938" s="1">
        <v>43192</v>
      </c>
      <c r="H938" s="1" t="s">
        <v>17</v>
      </c>
      <c r="I938" s="1" t="s">
        <v>13</v>
      </c>
      <c r="J938" s="1" t="s">
        <v>32</v>
      </c>
      <c r="K938" s="4">
        <f t="shared" ca="1" si="70"/>
        <v>8</v>
      </c>
      <c r="L938" t="str">
        <f t="shared" si="71"/>
        <v>Medium</v>
      </c>
      <c r="M938" t="str">
        <f t="shared" si="72"/>
        <v>Low</v>
      </c>
      <c r="N938" t="str">
        <f t="shared" si="73"/>
        <v>PIP</v>
      </c>
      <c r="O938" t="str">
        <f t="shared" ca="1" si="74"/>
        <v>Not Eligible</v>
      </c>
    </row>
    <row r="939" spans="1:15" x14ac:dyDescent="0.25">
      <c r="A939" t="s">
        <v>40</v>
      </c>
      <c r="B939">
        <v>50</v>
      </c>
      <c r="C939">
        <v>70000</v>
      </c>
      <c r="D939" t="s">
        <v>9</v>
      </c>
      <c r="E939" t="s">
        <v>15</v>
      </c>
      <c r="F939" t="s">
        <v>28</v>
      </c>
      <c r="G939" s="1">
        <v>43192</v>
      </c>
      <c r="H939" s="1" t="s">
        <v>24</v>
      </c>
      <c r="I939" s="1" t="s">
        <v>18</v>
      </c>
      <c r="J939" s="1" t="s">
        <v>32</v>
      </c>
      <c r="K939" s="4">
        <f t="shared" ca="1" si="70"/>
        <v>8</v>
      </c>
      <c r="L939" t="str">
        <f t="shared" si="71"/>
        <v>High</v>
      </c>
      <c r="M939" t="str">
        <f t="shared" si="72"/>
        <v>High</v>
      </c>
      <c r="N939" t="str">
        <f t="shared" si="73"/>
        <v>No PIP</v>
      </c>
      <c r="O939" t="str">
        <f t="shared" ca="1" si="74"/>
        <v>Eligible</v>
      </c>
    </row>
    <row r="940" spans="1:15" x14ac:dyDescent="0.25">
      <c r="A940" t="s">
        <v>34</v>
      </c>
      <c r="B940">
        <v>40</v>
      </c>
      <c r="C940">
        <v>55000</v>
      </c>
      <c r="D940" t="s">
        <v>14</v>
      </c>
      <c r="E940" t="s">
        <v>27</v>
      </c>
      <c r="F940" t="s">
        <v>28</v>
      </c>
      <c r="G940" s="1">
        <v>43192</v>
      </c>
      <c r="H940" s="1" t="s">
        <v>29</v>
      </c>
      <c r="I940" s="1" t="s">
        <v>44</v>
      </c>
      <c r="J940" s="1" t="s">
        <v>22</v>
      </c>
      <c r="K940" s="4">
        <f t="shared" ca="1" si="70"/>
        <v>8</v>
      </c>
      <c r="L940" t="str">
        <f t="shared" si="71"/>
        <v>Low</v>
      </c>
      <c r="M940" t="str">
        <f t="shared" si="72"/>
        <v>Medium</v>
      </c>
      <c r="N940" t="str">
        <f t="shared" si="73"/>
        <v>No PIP</v>
      </c>
      <c r="O940" t="str">
        <f t="shared" ca="1" si="74"/>
        <v>Not Eligible</v>
      </c>
    </row>
    <row r="941" spans="1:15" x14ac:dyDescent="0.25">
      <c r="A941" t="s">
        <v>42</v>
      </c>
      <c r="B941">
        <v>30</v>
      </c>
      <c r="C941">
        <v>60216</v>
      </c>
      <c r="D941" t="s">
        <v>14</v>
      </c>
      <c r="E941" t="s">
        <v>20</v>
      </c>
      <c r="F941" t="s">
        <v>30</v>
      </c>
      <c r="G941" s="1">
        <v>43192</v>
      </c>
      <c r="H941" s="1" t="s">
        <v>21</v>
      </c>
      <c r="I941" s="1" t="s">
        <v>13</v>
      </c>
      <c r="J941" s="1" t="s">
        <v>19</v>
      </c>
      <c r="K941" s="4">
        <f t="shared" ca="1" si="70"/>
        <v>8</v>
      </c>
      <c r="L941" t="str">
        <f t="shared" si="71"/>
        <v>Medium</v>
      </c>
      <c r="M941" t="str">
        <f t="shared" si="72"/>
        <v>Medium</v>
      </c>
      <c r="N941" t="str">
        <f t="shared" si="73"/>
        <v>No PIP</v>
      </c>
      <c r="O941" t="str">
        <f t="shared" ca="1" si="74"/>
        <v>Not Eligible</v>
      </c>
    </row>
    <row r="942" spans="1:15" x14ac:dyDescent="0.25">
      <c r="A942" t="s">
        <v>38</v>
      </c>
      <c r="B942">
        <v>50</v>
      </c>
      <c r="C942">
        <v>65000</v>
      </c>
      <c r="D942" t="s">
        <v>14</v>
      </c>
      <c r="E942" t="s">
        <v>23</v>
      </c>
      <c r="F942" t="s">
        <v>11</v>
      </c>
      <c r="G942" s="1">
        <v>43192</v>
      </c>
      <c r="H942" s="1" t="s">
        <v>24</v>
      </c>
      <c r="I942" s="1" t="s">
        <v>44</v>
      </c>
      <c r="J942" s="1" t="s">
        <v>22</v>
      </c>
      <c r="K942" s="4">
        <f t="shared" ca="1" si="70"/>
        <v>8</v>
      </c>
      <c r="L942" t="str">
        <f t="shared" si="71"/>
        <v>High</v>
      </c>
      <c r="M942" t="str">
        <f t="shared" si="72"/>
        <v>High</v>
      </c>
      <c r="N942" t="str">
        <f t="shared" si="73"/>
        <v>No PIP</v>
      </c>
      <c r="O942" t="str">
        <f t="shared" ca="1" si="74"/>
        <v>Eligible</v>
      </c>
    </row>
    <row r="943" spans="1:15" x14ac:dyDescent="0.25">
      <c r="A943" t="s">
        <v>36</v>
      </c>
      <c r="B943">
        <v>50</v>
      </c>
      <c r="C943">
        <v>65000</v>
      </c>
      <c r="D943" t="s">
        <v>26</v>
      </c>
      <c r="E943" t="s">
        <v>15</v>
      </c>
      <c r="F943" t="s">
        <v>16</v>
      </c>
      <c r="G943" s="1">
        <v>43192</v>
      </c>
      <c r="H943" s="1" t="s">
        <v>12</v>
      </c>
      <c r="I943" s="1" t="s">
        <v>44</v>
      </c>
      <c r="J943" s="1" t="s">
        <v>44</v>
      </c>
      <c r="K943" s="4">
        <f t="shared" ca="1" si="70"/>
        <v>8</v>
      </c>
      <c r="L943" t="str">
        <f t="shared" si="71"/>
        <v>High</v>
      </c>
      <c r="M943" t="str">
        <f t="shared" si="72"/>
        <v>Low</v>
      </c>
      <c r="N943" t="str">
        <f t="shared" si="73"/>
        <v>PIP</v>
      </c>
      <c r="O943" t="str">
        <f t="shared" ca="1" si="74"/>
        <v>Not Eligible</v>
      </c>
    </row>
    <row r="944" spans="1:15" x14ac:dyDescent="0.25">
      <c r="A944" t="s">
        <v>34</v>
      </c>
      <c r="B944">
        <v>50</v>
      </c>
      <c r="C944">
        <v>70000</v>
      </c>
      <c r="D944" t="s">
        <v>14</v>
      </c>
      <c r="E944" t="s">
        <v>20</v>
      </c>
      <c r="F944" t="s">
        <v>30</v>
      </c>
      <c r="G944" s="1">
        <v>43192</v>
      </c>
      <c r="H944" s="1" t="s">
        <v>12</v>
      </c>
      <c r="I944" s="1" t="s">
        <v>13</v>
      </c>
      <c r="J944" s="1" t="s">
        <v>19</v>
      </c>
      <c r="K944" s="4">
        <f t="shared" ca="1" si="70"/>
        <v>8</v>
      </c>
      <c r="L944" t="str">
        <f t="shared" si="71"/>
        <v>High</v>
      </c>
      <c r="M944" t="str">
        <f t="shared" si="72"/>
        <v>Low</v>
      </c>
      <c r="N944" t="str">
        <f t="shared" si="73"/>
        <v>PIP</v>
      </c>
      <c r="O944" t="str">
        <f t="shared" ca="1" si="74"/>
        <v>Not Eligible</v>
      </c>
    </row>
    <row r="945" spans="1:15" x14ac:dyDescent="0.25">
      <c r="A945" t="s">
        <v>41</v>
      </c>
      <c r="B945">
        <v>25</v>
      </c>
      <c r="C945">
        <v>70000</v>
      </c>
      <c r="D945" t="s">
        <v>9</v>
      </c>
      <c r="E945" t="s">
        <v>23</v>
      </c>
      <c r="F945" t="s">
        <v>11</v>
      </c>
      <c r="G945" s="1">
        <v>43192</v>
      </c>
      <c r="H945" s="1" t="s">
        <v>24</v>
      </c>
      <c r="I945" s="1" t="s">
        <v>13</v>
      </c>
      <c r="J945" s="1" t="s">
        <v>32</v>
      </c>
      <c r="K945" s="4">
        <f t="shared" ca="1" si="70"/>
        <v>8</v>
      </c>
      <c r="L945" t="str">
        <f t="shared" si="71"/>
        <v>High</v>
      </c>
      <c r="M945" t="str">
        <f t="shared" si="72"/>
        <v>High</v>
      </c>
      <c r="N945" t="str">
        <f t="shared" si="73"/>
        <v>No PIP</v>
      </c>
      <c r="O945" t="str">
        <f t="shared" ca="1" si="74"/>
        <v>Eligible</v>
      </c>
    </row>
    <row r="946" spans="1:15" x14ac:dyDescent="0.25">
      <c r="A946" t="s">
        <v>41</v>
      </c>
      <c r="B946">
        <v>35</v>
      </c>
      <c r="C946">
        <v>65000</v>
      </c>
      <c r="D946" t="s">
        <v>26</v>
      </c>
      <c r="E946" t="s">
        <v>20</v>
      </c>
      <c r="F946" t="s">
        <v>30</v>
      </c>
      <c r="G946" s="1">
        <v>43192</v>
      </c>
      <c r="H946" s="1" t="s">
        <v>17</v>
      </c>
      <c r="I946" s="1" t="s">
        <v>13</v>
      </c>
      <c r="J946" s="1" t="s">
        <v>22</v>
      </c>
      <c r="K946" s="4">
        <f t="shared" ca="1" si="70"/>
        <v>8</v>
      </c>
      <c r="L946" t="str">
        <f t="shared" si="71"/>
        <v>High</v>
      </c>
      <c r="M946" t="str">
        <f t="shared" si="72"/>
        <v>Low</v>
      </c>
      <c r="N946" t="str">
        <f t="shared" si="73"/>
        <v>PIP</v>
      </c>
      <c r="O946" t="str">
        <f t="shared" ca="1" si="74"/>
        <v>Not Eligible</v>
      </c>
    </row>
    <row r="947" spans="1:15" x14ac:dyDescent="0.25">
      <c r="A947" t="s">
        <v>36</v>
      </c>
      <c r="B947">
        <v>35</v>
      </c>
      <c r="C947">
        <v>55000</v>
      </c>
      <c r="D947" t="s">
        <v>26</v>
      </c>
      <c r="E947" t="s">
        <v>23</v>
      </c>
      <c r="F947" t="s">
        <v>28</v>
      </c>
      <c r="G947" s="1">
        <v>43192</v>
      </c>
      <c r="H947" s="1" t="s">
        <v>29</v>
      </c>
      <c r="I947" s="1" t="s">
        <v>44</v>
      </c>
      <c r="J947" s="1" t="s">
        <v>44</v>
      </c>
      <c r="K947" s="4">
        <f t="shared" ca="1" si="70"/>
        <v>8</v>
      </c>
      <c r="L947" t="str">
        <f t="shared" si="71"/>
        <v>Low</v>
      </c>
      <c r="M947" t="str">
        <f t="shared" si="72"/>
        <v>Medium</v>
      </c>
      <c r="N947" t="str">
        <f t="shared" si="73"/>
        <v>No PIP</v>
      </c>
      <c r="O947" t="str">
        <f t="shared" ca="1" si="74"/>
        <v>Not Eligible</v>
      </c>
    </row>
    <row r="948" spans="1:15" x14ac:dyDescent="0.25">
      <c r="A948" t="s">
        <v>36</v>
      </c>
      <c r="B948">
        <v>25</v>
      </c>
      <c r="C948">
        <v>60000</v>
      </c>
      <c r="D948" t="s">
        <v>14</v>
      </c>
      <c r="E948" t="s">
        <v>15</v>
      </c>
      <c r="F948" t="s">
        <v>30</v>
      </c>
      <c r="G948" s="1">
        <v>43192</v>
      </c>
      <c r="H948" s="1" t="s">
        <v>12</v>
      </c>
      <c r="I948" s="1" t="s">
        <v>13</v>
      </c>
      <c r="J948" s="1" t="s">
        <v>32</v>
      </c>
      <c r="K948" s="4">
        <f t="shared" ca="1" si="70"/>
        <v>8</v>
      </c>
      <c r="L948" t="str">
        <f t="shared" si="71"/>
        <v>Medium</v>
      </c>
      <c r="M948" t="str">
        <f t="shared" si="72"/>
        <v>Low</v>
      </c>
      <c r="N948" t="str">
        <f t="shared" si="73"/>
        <v>PIP</v>
      </c>
      <c r="O948" t="str">
        <f t="shared" ca="1" si="74"/>
        <v>Not Eligible</v>
      </c>
    </row>
    <row r="949" spans="1:15" x14ac:dyDescent="0.25">
      <c r="A949" t="s">
        <v>38</v>
      </c>
      <c r="B949">
        <v>35</v>
      </c>
      <c r="C949">
        <v>65000</v>
      </c>
      <c r="D949" t="s">
        <v>26</v>
      </c>
      <c r="E949" t="s">
        <v>10</v>
      </c>
      <c r="F949" t="s">
        <v>30</v>
      </c>
      <c r="G949" s="1">
        <v>43192</v>
      </c>
      <c r="H949" s="1" t="s">
        <v>29</v>
      </c>
      <c r="I949" s="1" t="s">
        <v>13</v>
      </c>
      <c r="J949" s="1" t="s">
        <v>32</v>
      </c>
      <c r="K949" s="4">
        <f t="shared" ca="1" si="70"/>
        <v>8</v>
      </c>
      <c r="L949" t="str">
        <f t="shared" si="71"/>
        <v>High</v>
      </c>
      <c r="M949" t="str">
        <f t="shared" si="72"/>
        <v>Medium</v>
      </c>
      <c r="N949" t="str">
        <f t="shared" si="73"/>
        <v>No PIP</v>
      </c>
      <c r="O949" t="str">
        <f t="shared" ca="1" si="74"/>
        <v>Not Eligible</v>
      </c>
    </row>
    <row r="950" spans="1:15" x14ac:dyDescent="0.25">
      <c r="A950" t="s">
        <v>42</v>
      </c>
      <c r="B950">
        <v>25</v>
      </c>
      <c r="C950">
        <v>60000</v>
      </c>
      <c r="D950" t="s">
        <v>26</v>
      </c>
      <c r="E950" t="s">
        <v>20</v>
      </c>
      <c r="F950" t="s">
        <v>11</v>
      </c>
      <c r="G950" s="1">
        <v>43192</v>
      </c>
      <c r="H950" s="1" t="s">
        <v>24</v>
      </c>
      <c r="I950" s="1" t="s">
        <v>18</v>
      </c>
      <c r="J950" s="1" t="s">
        <v>22</v>
      </c>
      <c r="K950" s="4">
        <f t="shared" ca="1" si="70"/>
        <v>8</v>
      </c>
      <c r="L950" t="str">
        <f t="shared" si="71"/>
        <v>Medium</v>
      </c>
      <c r="M950" t="str">
        <f t="shared" si="72"/>
        <v>High</v>
      </c>
      <c r="N950" t="str">
        <f t="shared" si="73"/>
        <v>No PIP</v>
      </c>
      <c r="O950" t="str">
        <f t="shared" ca="1" si="74"/>
        <v>Eligible</v>
      </c>
    </row>
    <row r="951" spans="1:15" x14ac:dyDescent="0.25">
      <c r="A951" t="s">
        <v>34</v>
      </c>
      <c r="B951">
        <v>35</v>
      </c>
      <c r="C951">
        <v>70000</v>
      </c>
      <c r="D951" t="s">
        <v>26</v>
      </c>
      <c r="E951" t="s">
        <v>27</v>
      </c>
      <c r="F951" t="s">
        <v>16</v>
      </c>
      <c r="G951" s="1">
        <v>43192</v>
      </c>
      <c r="H951" s="1" t="s">
        <v>21</v>
      </c>
      <c r="I951" s="1" t="s">
        <v>25</v>
      </c>
      <c r="J951" s="1" t="s">
        <v>44</v>
      </c>
      <c r="K951" s="4">
        <f t="shared" ca="1" si="70"/>
        <v>8</v>
      </c>
      <c r="L951" t="str">
        <f t="shared" si="71"/>
        <v>High</v>
      </c>
      <c r="M951" t="str">
        <f t="shared" si="72"/>
        <v>Medium</v>
      </c>
      <c r="N951" t="str">
        <f t="shared" si="73"/>
        <v>No PIP</v>
      </c>
      <c r="O951" t="str">
        <f t="shared" ca="1" si="74"/>
        <v>Not Eligible</v>
      </c>
    </row>
    <row r="952" spans="1:15" x14ac:dyDescent="0.25">
      <c r="A952" t="s">
        <v>37</v>
      </c>
      <c r="B952">
        <v>25</v>
      </c>
      <c r="C952">
        <v>60216</v>
      </c>
      <c r="D952" t="s">
        <v>26</v>
      </c>
      <c r="E952" t="s">
        <v>27</v>
      </c>
      <c r="F952" t="s">
        <v>31</v>
      </c>
      <c r="G952" s="1">
        <v>43192</v>
      </c>
      <c r="H952" s="1" t="s">
        <v>21</v>
      </c>
      <c r="I952" s="1" t="s">
        <v>18</v>
      </c>
      <c r="J952" s="1" t="s">
        <v>22</v>
      </c>
      <c r="K952" s="4">
        <f t="shared" ca="1" si="70"/>
        <v>8</v>
      </c>
      <c r="L952" t="str">
        <f t="shared" si="71"/>
        <v>Medium</v>
      </c>
      <c r="M952" t="str">
        <f t="shared" si="72"/>
        <v>Medium</v>
      </c>
      <c r="N952" t="str">
        <f t="shared" si="73"/>
        <v>No PIP</v>
      </c>
      <c r="O952" t="str">
        <f t="shared" ca="1" si="74"/>
        <v>Not Eligible</v>
      </c>
    </row>
    <row r="953" spans="1:15" x14ac:dyDescent="0.25">
      <c r="A953" t="s">
        <v>42</v>
      </c>
      <c r="B953">
        <v>35</v>
      </c>
      <c r="C953">
        <v>65000</v>
      </c>
      <c r="D953" t="s">
        <v>9</v>
      </c>
      <c r="E953" t="s">
        <v>23</v>
      </c>
      <c r="F953" t="s">
        <v>31</v>
      </c>
      <c r="G953" s="1">
        <v>43192</v>
      </c>
      <c r="H953" s="1" t="s">
        <v>29</v>
      </c>
      <c r="I953" s="1" t="s">
        <v>18</v>
      </c>
      <c r="J953" s="1" t="s">
        <v>32</v>
      </c>
      <c r="K953" s="4">
        <f t="shared" ca="1" si="70"/>
        <v>8</v>
      </c>
      <c r="L953" t="str">
        <f t="shared" si="71"/>
        <v>High</v>
      </c>
      <c r="M953" t="str">
        <f t="shared" si="72"/>
        <v>Medium</v>
      </c>
      <c r="N953" t="str">
        <f t="shared" si="73"/>
        <v>No PIP</v>
      </c>
      <c r="O953" t="str">
        <f t="shared" ca="1" si="74"/>
        <v>Not Eligible</v>
      </c>
    </row>
    <row r="954" spans="1:15" x14ac:dyDescent="0.25">
      <c r="A954" t="s">
        <v>38</v>
      </c>
      <c r="B954">
        <v>35</v>
      </c>
      <c r="C954">
        <v>50000</v>
      </c>
      <c r="D954" t="s">
        <v>9</v>
      </c>
      <c r="E954" t="s">
        <v>15</v>
      </c>
      <c r="F954" t="s">
        <v>11</v>
      </c>
      <c r="G954" s="1">
        <v>43192</v>
      </c>
      <c r="H954" s="1" t="s">
        <v>21</v>
      </c>
      <c r="I954" s="1" t="s">
        <v>44</v>
      </c>
      <c r="J954" s="1" t="s">
        <v>44</v>
      </c>
      <c r="K954" s="4">
        <f t="shared" ca="1" si="70"/>
        <v>8</v>
      </c>
      <c r="L954" t="str">
        <f t="shared" si="71"/>
        <v>Low</v>
      </c>
      <c r="M954" t="str">
        <f t="shared" si="72"/>
        <v>Medium</v>
      </c>
      <c r="N954" t="str">
        <f t="shared" si="73"/>
        <v>No PIP</v>
      </c>
      <c r="O954" t="str">
        <f t="shared" ca="1" si="74"/>
        <v>Not Eligible</v>
      </c>
    </row>
    <row r="955" spans="1:15" x14ac:dyDescent="0.25">
      <c r="A955" t="s">
        <v>34</v>
      </c>
      <c r="B955">
        <v>30</v>
      </c>
      <c r="C955">
        <v>65000</v>
      </c>
      <c r="D955" t="s">
        <v>9</v>
      </c>
      <c r="E955" t="s">
        <v>20</v>
      </c>
      <c r="F955" t="s">
        <v>28</v>
      </c>
      <c r="G955" s="1">
        <v>43192</v>
      </c>
      <c r="H955" s="1" t="s">
        <v>12</v>
      </c>
      <c r="I955" s="1" t="s">
        <v>13</v>
      </c>
      <c r="J955" s="1" t="s">
        <v>32</v>
      </c>
      <c r="K955" s="4">
        <f t="shared" ca="1" si="70"/>
        <v>8</v>
      </c>
      <c r="L955" t="str">
        <f t="shared" si="71"/>
        <v>High</v>
      </c>
      <c r="M955" t="str">
        <f t="shared" si="72"/>
        <v>Low</v>
      </c>
      <c r="N955" t="str">
        <f t="shared" si="73"/>
        <v>PIP</v>
      </c>
      <c r="O955" t="str">
        <f t="shared" ca="1" si="74"/>
        <v>Not Eligible</v>
      </c>
    </row>
    <row r="956" spans="1:15" x14ac:dyDescent="0.25">
      <c r="A956" t="s">
        <v>37</v>
      </c>
      <c r="B956">
        <v>35</v>
      </c>
      <c r="C956">
        <v>50000</v>
      </c>
      <c r="D956" t="s">
        <v>9</v>
      </c>
      <c r="E956" t="s">
        <v>23</v>
      </c>
      <c r="F956" t="s">
        <v>30</v>
      </c>
      <c r="G956" s="1">
        <v>43192</v>
      </c>
      <c r="H956" s="1" t="s">
        <v>29</v>
      </c>
      <c r="I956" s="1" t="s">
        <v>44</v>
      </c>
      <c r="J956" s="1" t="s">
        <v>44</v>
      </c>
      <c r="K956" s="4">
        <f t="shared" ca="1" si="70"/>
        <v>8</v>
      </c>
      <c r="L956" t="str">
        <f t="shared" si="71"/>
        <v>Low</v>
      </c>
      <c r="M956" t="str">
        <f t="shared" si="72"/>
        <v>Medium</v>
      </c>
      <c r="N956" t="str">
        <f t="shared" si="73"/>
        <v>No PIP</v>
      </c>
      <c r="O956" t="str">
        <f t="shared" ca="1" si="74"/>
        <v>Not Eligible</v>
      </c>
    </row>
    <row r="957" spans="1:15" x14ac:dyDescent="0.25">
      <c r="A957" t="s">
        <v>33</v>
      </c>
      <c r="B957">
        <v>30</v>
      </c>
      <c r="C957">
        <v>60216</v>
      </c>
      <c r="D957" t="s">
        <v>9</v>
      </c>
      <c r="E957" t="s">
        <v>15</v>
      </c>
      <c r="F957" t="s">
        <v>16</v>
      </c>
      <c r="G957" s="1">
        <v>43192</v>
      </c>
      <c r="H957" s="1" t="s">
        <v>29</v>
      </c>
      <c r="I957" s="1" t="s">
        <v>44</v>
      </c>
      <c r="J957" s="1" t="s">
        <v>44</v>
      </c>
      <c r="K957" s="4">
        <f t="shared" ca="1" si="70"/>
        <v>8</v>
      </c>
      <c r="L957" t="str">
        <f t="shared" si="71"/>
        <v>Medium</v>
      </c>
      <c r="M957" t="str">
        <f t="shared" si="72"/>
        <v>Medium</v>
      </c>
      <c r="N957" t="str">
        <f t="shared" si="73"/>
        <v>No PIP</v>
      </c>
      <c r="O957" t="str">
        <f t="shared" ca="1" si="74"/>
        <v>Not Eligible</v>
      </c>
    </row>
    <row r="958" spans="1:15" x14ac:dyDescent="0.25">
      <c r="A958" t="s">
        <v>36</v>
      </c>
      <c r="B958">
        <v>50</v>
      </c>
      <c r="C958">
        <v>60000</v>
      </c>
      <c r="D958" t="s">
        <v>26</v>
      </c>
      <c r="E958" t="s">
        <v>15</v>
      </c>
      <c r="F958" t="s">
        <v>30</v>
      </c>
      <c r="G958" s="1">
        <v>43192</v>
      </c>
      <c r="H958" s="1" t="s">
        <v>21</v>
      </c>
      <c r="I958" s="1" t="s">
        <v>44</v>
      </c>
      <c r="J958" s="1" t="s">
        <v>22</v>
      </c>
      <c r="K958" s="4">
        <f t="shared" ca="1" si="70"/>
        <v>8</v>
      </c>
      <c r="L958" t="str">
        <f t="shared" si="71"/>
        <v>Medium</v>
      </c>
      <c r="M958" t="str">
        <f t="shared" si="72"/>
        <v>Medium</v>
      </c>
      <c r="N958" t="str">
        <f t="shared" si="73"/>
        <v>No PIP</v>
      </c>
      <c r="O958" t="str">
        <f t="shared" ca="1" si="74"/>
        <v>Not Eligible</v>
      </c>
    </row>
    <row r="959" spans="1:15" x14ac:dyDescent="0.25">
      <c r="A959" t="s">
        <v>33</v>
      </c>
      <c r="B959">
        <v>40</v>
      </c>
      <c r="C959">
        <v>70000</v>
      </c>
      <c r="D959" t="s">
        <v>9</v>
      </c>
      <c r="E959" t="s">
        <v>20</v>
      </c>
      <c r="F959" t="s">
        <v>28</v>
      </c>
      <c r="G959" s="1">
        <v>43192</v>
      </c>
      <c r="H959" s="1" t="s">
        <v>17</v>
      </c>
      <c r="I959" s="1" t="s">
        <v>13</v>
      </c>
      <c r="J959" s="1" t="s">
        <v>44</v>
      </c>
      <c r="K959" s="4">
        <f t="shared" ca="1" si="70"/>
        <v>8</v>
      </c>
      <c r="L959" t="str">
        <f t="shared" si="71"/>
        <v>High</v>
      </c>
      <c r="M959" t="str">
        <f t="shared" si="72"/>
        <v>Low</v>
      </c>
      <c r="N959" t="str">
        <f t="shared" si="73"/>
        <v>PIP</v>
      </c>
      <c r="O959" t="str">
        <f t="shared" ca="1" si="74"/>
        <v>Not Eligible</v>
      </c>
    </row>
    <row r="960" spans="1:15" x14ac:dyDescent="0.25">
      <c r="A960" t="s">
        <v>37</v>
      </c>
      <c r="B960">
        <v>30</v>
      </c>
      <c r="C960">
        <v>65000</v>
      </c>
      <c r="D960" t="s">
        <v>26</v>
      </c>
      <c r="E960" t="s">
        <v>15</v>
      </c>
      <c r="F960" t="s">
        <v>11</v>
      </c>
      <c r="G960" s="1">
        <v>43192</v>
      </c>
      <c r="H960" s="1" t="s">
        <v>29</v>
      </c>
      <c r="I960" s="1" t="s">
        <v>13</v>
      </c>
      <c r="J960" s="1" t="s">
        <v>32</v>
      </c>
      <c r="K960" s="4">
        <f t="shared" ca="1" si="70"/>
        <v>8</v>
      </c>
      <c r="L960" t="str">
        <f t="shared" si="71"/>
        <v>High</v>
      </c>
      <c r="M960" t="str">
        <f t="shared" si="72"/>
        <v>Medium</v>
      </c>
      <c r="N960" t="str">
        <f t="shared" si="73"/>
        <v>No PIP</v>
      </c>
      <c r="O960" t="str">
        <f t="shared" ca="1" si="74"/>
        <v>Not Eligible</v>
      </c>
    </row>
    <row r="961" spans="1:15" x14ac:dyDescent="0.25">
      <c r="A961" t="s">
        <v>34</v>
      </c>
      <c r="B961">
        <v>35</v>
      </c>
      <c r="C961">
        <v>55000</v>
      </c>
      <c r="D961" t="s">
        <v>26</v>
      </c>
      <c r="E961" t="s">
        <v>15</v>
      </c>
      <c r="F961" t="s">
        <v>30</v>
      </c>
      <c r="G961" s="1">
        <v>43192</v>
      </c>
      <c r="H961" s="1" t="s">
        <v>21</v>
      </c>
      <c r="I961" s="1" t="s">
        <v>18</v>
      </c>
      <c r="J961" s="1" t="s">
        <v>19</v>
      </c>
      <c r="K961" s="4">
        <f t="shared" ca="1" si="70"/>
        <v>8</v>
      </c>
      <c r="L961" t="str">
        <f t="shared" si="71"/>
        <v>Low</v>
      </c>
      <c r="M961" t="str">
        <f t="shared" si="72"/>
        <v>Medium</v>
      </c>
      <c r="N961" t="str">
        <f t="shared" si="73"/>
        <v>No PIP</v>
      </c>
      <c r="O961" t="str">
        <f t="shared" ca="1" si="74"/>
        <v>Not Eligible</v>
      </c>
    </row>
    <row r="962" spans="1:15" x14ac:dyDescent="0.25">
      <c r="A962" t="s">
        <v>42</v>
      </c>
      <c r="B962">
        <v>40</v>
      </c>
      <c r="C962">
        <v>70000</v>
      </c>
      <c r="D962" t="s">
        <v>14</v>
      </c>
      <c r="E962" t="s">
        <v>20</v>
      </c>
      <c r="F962" t="s">
        <v>28</v>
      </c>
      <c r="G962" s="1">
        <v>43192</v>
      </c>
      <c r="H962" s="1" t="s">
        <v>12</v>
      </c>
      <c r="I962" s="1" t="s">
        <v>44</v>
      </c>
      <c r="J962" s="1" t="s">
        <v>44</v>
      </c>
      <c r="K962" s="4">
        <f t="shared" ca="1" si="70"/>
        <v>8</v>
      </c>
      <c r="L962" t="str">
        <f t="shared" si="71"/>
        <v>High</v>
      </c>
      <c r="M962" t="str">
        <f t="shared" si="72"/>
        <v>Low</v>
      </c>
      <c r="N962" t="str">
        <f t="shared" si="73"/>
        <v>PIP</v>
      </c>
      <c r="O962" t="str">
        <f t="shared" ca="1" si="74"/>
        <v>Not Eligible</v>
      </c>
    </row>
    <row r="963" spans="1:15" x14ac:dyDescent="0.25">
      <c r="A963" t="s">
        <v>38</v>
      </c>
      <c r="B963">
        <v>35</v>
      </c>
      <c r="C963">
        <v>55000</v>
      </c>
      <c r="D963" t="s">
        <v>9</v>
      </c>
      <c r="E963" t="s">
        <v>27</v>
      </c>
      <c r="F963" t="s">
        <v>11</v>
      </c>
      <c r="G963" s="1">
        <v>43192</v>
      </c>
      <c r="H963" s="1" t="s">
        <v>29</v>
      </c>
      <c r="I963" s="1" t="s">
        <v>25</v>
      </c>
      <c r="J963" s="1" t="s">
        <v>22</v>
      </c>
      <c r="K963" s="4">
        <f t="shared" ref="K963:K1001" ca="1" si="75">ROUND((TODAY()-G963)/365,1)</f>
        <v>8</v>
      </c>
      <c r="L963" t="str">
        <f t="shared" ref="L963:L1001" si="76">IF(C963&lt;60000,"Low", IF(C963&lt;65000,"Medium","High"))</f>
        <v>Low</v>
      </c>
      <c r="M963" t="str">
        <f t="shared" ref="M963:M1001" si="77">IF(H963="A","High",IF(OR(H963="B",H963="C"),"Medium","Low"))</f>
        <v>Medium</v>
      </c>
      <c r="N963" t="str">
        <f t="shared" ref="N963:N1001" si="78">IF(M963="Low","PIP","No PIP")</f>
        <v>No PIP</v>
      </c>
      <c r="O963" t="str">
        <f t="shared" ref="O963:O1001" ca="1" si="79">IF(AND(M963="High",K963&gt;3),"Eligible","Not Eligible")</f>
        <v>Not Eligible</v>
      </c>
    </row>
    <row r="964" spans="1:15" x14ac:dyDescent="0.25">
      <c r="A964" t="s">
        <v>40</v>
      </c>
      <c r="B964">
        <v>35</v>
      </c>
      <c r="C964">
        <v>50000</v>
      </c>
      <c r="D964" t="s">
        <v>9</v>
      </c>
      <c r="E964" t="s">
        <v>27</v>
      </c>
      <c r="F964" t="s">
        <v>28</v>
      </c>
      <c r="G964" s="1">
        <v>43192</v>
      </c>
      <c r="H964" s="1" t="s">
        <v>21</v>
      </c>
      <c r="I964" s="1" t="s">
        <v>44</v>
      </c>
      <c r="J964" s="1" t="s">
        <v>22</v>
      </c>
      <c r="K964" s="4">
        <f t="shared" ca="1" si="75"/>
        <v>8</v>
      </c>
      <c r="L964" t="str">
        <f t="shared" si="76"/>
        <v>Low</v>
      </c>
      <c r="M964" t="str">
        <f t="shared" si="77"/>
        <v>Medium</v>
      </c>
      <c r="N964" t="str">
        <f t="shared" si="78"/>
        <v>No PIP</v>
      </c>
      <c r="O964" t="str">
        <f t="shared" ca="1" si="79"/>
        <v>Not Eligible</v>
      </c>
    </row>
    <row r="965" spans="1:15" x14ac:dyDescent="0.25">
      <c r="A965" t="s">
        <v>35</v>
      </c>
      <c r="B965">
        <v>40</v>
      </c>
      <c r="C965">
        <v>65000</v>
      </c>
      <c r="D965" t="s">
        <v>26</v>
      </c>
      <c r="E965" t="s">
        <v>23</v>
      </c>
      <c r="F965" t="s">
        <v>11</v>
      </c>
      <c r="G965" s="1">
        <v>43192</v>
      </c>
      <c r="H965" s="1" t="s">
        <v>29</v>
      </c>
      <c r="I965" s="1" t="s">
        <v>13</v>
      </c>
      <c r="J965" s="1" t="s">
        <v>44</v>
      </c>
      <c r="K965" s="4">
        <f t="shared" ca="1" si="75"/>
        <v>8</v>
      </c>
      <c r="L965" t="str">
        <f t="shared" si="76"/>
        <v>High</v>
      </c>
      <c r="M965" t="str">
        <f t="shared" si="77"/>
        <v>Medium</v>
      </c>
      <c r="N965" t="str">
        <f t="shared" si="78"/>
        <v>No PIP</v>
      </c>
      <c r="O965" t="str">
        <f t="shared" ca="1" si="79"/>
        <v>Not Eligible</v>
      </c>
    </row>
    <row r="966" spans="1:15" x14ac:dyDescent="0.25">
      <c r="A966" t="s">
        <v>36</v>
      </c>
      <c r="B966">
        <v>30</v>
      </c>
      <c r="C966">
        <v>65000</v>
      </c>
      <c r="D966" t="s">
        <v>26</v>
      </c>
      <c r="E966" t="s">
        <v>20</v>
      </c>
      <c r="F966" t="s">
        <v>11</v>
      </c>
      <c r="G966" s="1">
        <v>43192</v>
      </c>
      <c r="H966" s="1" t="s">
        <v>12</v>
      </c>
      <c r="I966" s="1" t="s">
        <v>44</v>
      </c>
      <c r="J966" s="1" t="s">
        <v>32</v>
      </c>
      <c r="K966" s="4">
        <f t="shared" ca="1" si="75"/>
        <v>8</v>
      </c>
      <c r="L966" t="str">
        <f t="shared" si="76"/>
        <v>High</v>
      </c>
      <c r="M966" t="str">
        <f t="shared" si="77"/>
        <v>Low</v>
      </c>
      <c r="N966" t="str">
        <f t="shared" si="78"/>
        <v>PIP</v>
      </c>
      <c r="O966" t="str">
        <f t="shared" ca="1" si="79"/>
        <v>Not Eligible</v>
      </c>
    </row>
    <row r="967" spans="1:15" x14ac:dyDescent="0.25">
      <c r="A967" t="s">
        <v>39</v>
      </c>
      <c r="B967">
        <v>35</v>
      </c>
      <c r="C967">
        <v>65000</v>
      </c>
      <c r="D967" t="s">
        <v>14</v>
      </c>
      <c r="E967" t="s">
        <v>23</v>
      </c>
      <c r="F967" t="s">
        <v>28</v>
      </c>
      <c r="G967" s="1">
        <v>43192</v>
      </c>
      <c r="H967" s="1" t="s">
        <v>17</v>
      </c>
      <c r="I967" s="1" t="s">
        <v>13</v>
      </c>
      <c r="J967" s="1" t="s">
        <v>44</v>
      </c>
      <c r="K967" s="4">
        <f t="shared" ca="1" si="75"/>
        <v>8</v>
      </c>
      <c r="L967" t="str">
        <f t="shared" si="76"/>
        <v>High</v>
      </c>
      <c r="M967" t="str">
        <f t="shared" si="77"/>
        <v>Low</v>
      </c>
      <c r="N967" t="str">
        <f t="shared" si="78"/>
        <v>PIP</v>
      </c>
      <c r="O967" t="str">
        <f t="shared" ca="1" si="79"/>
        <v>Not Eligible</v>
      </c>
    </row>
    <row r="968" spans="1:15" x14ac:dyDescent="0.25">
      <c r="A968" t="s">
        <v>33</v>
      </c>
      <c r="B968">
        <v>35</v>
      </c>
      <c r="C968">
        <v>65000</v>
      </c>
      <c r="D968" t="s">
        <v>14</v>
      </c>
      <c r="E968" t="s">
        <v>15</v>
      </c>
      <c r="F968" t="s">
        <v>11</v>
      </c>
      <c r="G968" s="1">
        <v>43192</v>
      </c>
      <c r="H968" s="1" t="s">
        <v>21</v>
      </c>
      <c r="I968" s="1" t="s">
        <v>44</v>
      </c>
      <c r="J968" s="1" t="s">
        <v>44</v>
      </c>
      <c r="K968" s="4">
        <f t="shared" ca="1" si="75"/>
        <v>8</v>
      </c>
      <c r="L968" t="str">
        <f t="shared" si="76"/>
        <v>High</v>
      </c>
      <c r="M968" t="str">
        <f t="shared" si="77"/>
        <v>Medium</v>
      </c>
      <c r="N968" t="str">
        <f t="shared" si="78"/>
        <v>No PIP</v>
      </c>
      <c r="O968" t="str">
        <f t="shared" ca="1" si="79"/>
        <v>Not Eligible</v>
      </c>
    </row>
    <row r="969" spans="1:15" x14ac:dyDescent="0.25">
      <c r="A969" t="s">
        <v>35</v>
      </c>
      <c r="B969">
        <v>35</v>
      </c>
      <c r="C969">
        <v>55000</v>
      </c>
      <c r="D969" t="s">
        <v>9</v>
      </c>
      <c r="E969" t="s">
        <v>23</v>
      </c>
      <c r="F969" t="s">
        <v>31</v>
      </c>
      <c r="G969" s="1">
        <v>43192</v>
      </c>
      <c r="H969" s="1" t="s">
        <v>21</v>
      </c>
      <c r="I969" s="1" t="s">
        <v>44</v>
      </c>
      <c r="J969" s="1" t="s">
        <v>44</v>
      </c>
      <c r="K969" s="4">
        <f t="shared" ca="1" si="75"/>
        <v>8</v>
      </c>
      <c r="L969" t="str">
        <f t="shared" si="76"/>
        <v>Low</v>
      </c>
      <c r="M969" t="str">
        <f t="shared" si="77"/>
        <v>Medium</v>
      </c>
      <c r="N969" t="str">
        <f t="shared" si="78"/>
        <v>No PIP</v>
      </c>
      <c r="O969" t="str">
        <f t="shared" ca="1" si="79"/>
        <v>Not Eligible</v>
      </c>
    </row>
    <row r="970" spans="1:15" x14ac:dyDescent="0.25">
      <c r="A970" t="s">
        <v>33</v>
      </c>
      <c r="B970">
        <v>50</v>
      </c>
      <c r="C970">
        <v>60216</v>
      </c>
      <c r="D970" t="s">
        <v>9</v>
      </c>
      <c r="E970" t="s">
        <v>27</v>
      </c>
      <c r="F970" t="s">
        <v>28</v>
      </c>
      <c r="G970" s="1">
        <v>43192</v>
      </c>
      <c r="H970" s="1" t="s">
        <v>29</v>
      </c>
      <c r="I970" s="1" t="s">
        <v>44</v>
      </c>
      <c r="J970" s="1" t="s">
        <v>44</v>
      </c>
      <c r="K970" s="4">
        <f t="shared" ca="1" si="75"/>
        <v>8</v>
      </c>
      <c r="L970" t="str">
        <f t="shared" si="76"/>
        <v>Medium</v>
      </c>
      <c r="M970" t="str">
        <f t="shared" si="77"/>
        <v>Medium</v>
      </c>
      <c r="N970" t="str">
        <f t="shared" si="78"/>
        <v>No PIP</v>
      </c>
      <c r="O970" t="str">
        <f t="shared" ca="1" si="79"/>
        <v>Not Eligible</v>
      </c>
    </row>
    <row r="971" spans="1:15" x14ac:dyDescent="0.25">
      <c r="A971" t="s">
        <v>35</v>
      </c>
      <c r="B971">
        <v>35</v>
      </c>
      <c r="C971">
        <v>65000</v>
      </c>
      <c r="D971" t="s">
        <v>9</v>
      </c>
      <c r="E971" t="s">
        <v>20</v>
      </c>
      <c r="F971" t="s">
        <v>16</v>
      </c>
      <c r="G971" s="1">
        <v>43192</v>
      </c>
      <c r="H971" s="1" t="s">
        <v>17</v>
      </c>
      <c r="I971" s="1" t="s">
        <v>13</v>
      </c>
      <c r="J971" s="1" t="s">
        <v>19</v>
      </c>
      <c r="K971" s="4">
        <f t="shared" ca="1" si="75"/>
        <v>8</v>
      </c>
      <c r="L971" t="str">
        <f t="shared" si="76"/>
        <v>High</v>
      </c>
      <c r="M971" t="str">
        <f t="shared" si="77"/>
        <v>Low</v>
      </c>
      <c r="N971" t="str">
        <f t="shared" si="78"/>
        <v>PIP</v>
      </c>
      <c r="O971" t="str">
        <f t="shared" ca="1" si="79"/>
        <v>Not Eligible</v>
      </c>
    </row>
    <row r="972" spans="1:15" x14ac:dyDescent="0.25">
      <c r="A972" t="s">
        <v>39</v>
      </c>
      <c r="B972">
        <v>30</v>
      </c>
      <c r="C972">
        <v>60000</v>
      </c>
      <c r="D972" t="s">
        <v>14</v>
      </c>
      <c r="E972" t="s">
        <v>15</v>
      </c>
      <c r="F972" t="s">
        <v>30</v>
      </c>
      <c r="G972" s="1">
        <v>43192</v>
      </c>
      <c r="H972" s="1" t="s">
        <v>29</v>
      </c>
      <c r="I972" s="1" t="s">
        <v>18</v>
      </c>
      <c r="J972" s="1" t="s">
        <v>19</v>
      </c>
      <c r="K972" s="4">
        <f t="shared" ca="1" si="75"/>
        <v>8</v>
      </c>
      <c r="L972" t="str">
        <f t="shared" si="76"/>
        <v>Medium</v>
      </c>
      <c r="M972" t="str">
        <f t="shared" si="77"/>
        <v>Medium</v>
      </c>
      <c r="N972" t="str">
        <f t="shared" si="78"/>
        <v>No PIP</v>
      </c>
      <c r="O972" t="str">
        <f t="shared" ca="1" si="79"/>
        <v>Not Eligible</v>
      </c>
    </row>
    <row r="973" spans="1:15" x14ac:dyDescent="0.25">
      <c r="A973" t="s">
        <v>37</v>
      </c>
      <c r="B973">
        <v>35</v>
      </c>
      <c r="C973">
        <v>60000</v>
      </c>
      <c r="D973" t="s">
        <v>26</v>
      </c>
      <c r="E973" t="s">
        <v>20</v>
      </c>
      <c r="F973" t="s">
        <v>31</v>
      </c>
      <c r="G973" s="1">
        <v>43192</v>
      </c>
      <c r="H973" s="1" t="s">
        <v>17</v>
      </c>
      <c r="I973" s="1" t="s">
        <v>44</v>
      </c>
      <c r="J973" s="1" t="s">
        <v>19</v>
      </c>
      <c r="K973" s="4">
        <f t="shared" ca="1" si="75"/>
        <v>8</v>
      </c>
      <c r="L973" t="str">
        <f t="shared" si="76"/>
        <v>Medium</v>
      </c>
      <c r="M973" t="str">
        <f t="shared" si="77"/>
        <v>Low</v>
      </c>
      <c r="N973" t="str">
        <f t="shared" si="78"/>
        <v>PIP</v>
      </c>
      <c r="O973" t="str">
        <f t="shared" ca="1" si="79"/>
        <v>Not Eligible</v>
      </c>
    </row>
    <row r="974" spans="1:15" x14ac:dyDescent="0.25">
      <c r="A974" t="s">
        <v>38</v>
      </c>
      <c r="B974">
        <v>30</v>
      </c>
      <c r="C974">
        <v>50000</v>
      </c>
      <c r="D974" t="s">
        <v>9</v>
      </c>
      <c r="E974" t="s">
        <v>10</v>
      </c>
      <c r="F974" t="s">
        <v>30</v>
      </c>
      <c r="G974" s="1">
        <v>43192</v>
      </c>
      <c r="H974" s="1" t="s">
        <v>29</v>
      </c>
      <c r="I974" s="1" t="s">
        <v>25</v>
      </c>
      <c r="J974" s="1" t="s">
        <v>44</v>
      </c>
      <c r="K974" s="4">
        <f t="shared" ca="1" si="75"/>
        <v>8</v>
      </c>
      <c r="L974" t="str">
        <f t="shared" si="76"/>
        <v>Low</v>
      </c>
      <c r="M974" t="str">
        <f t="shared" si="77"/>
        <v>Medium</v>
      </c>
      <c r="N974" t="str">
        <f t="shared" si="78"/>
        <v>No PIP</v>
      </c>
      <c r="O974" t="str">
        <f t="shared" ca="1" si="79"/>
        <v>Not Eligible</v>
      </c>
    </row>
    <row r="975" spans="1:15" x14ac:dyDescent="0.25">
      <c r="A975" t="s">
        <v>34</v>
      </c>
      <c r="B975">
        <v>30</v>
      </c>
      <c r="C975">
        <v>70000</v>
      </c>
      <c r="D975" t="s">
        <v>14</v>
      </c>
      <c r="E975" t="s">
        <v>27</v>
      </c>
      <c r="F975" t="s">
        <v>28</v>
      </c>
      <c r="G975" s="1">
        <v>43192</v>
      </c>
      <c r="H975" s="1" t="s">
        <v>29</v>
      </c>
      <c r="I975" s="1" t="s">
        <v>25</v>
      </c>
      <c r="J975" s="1" t="s">
        <v>19</v>
      </c>
      <c r="K975" s="4">
        <f t="shared" ca="1" si="75"/>
        <v>8</v>
      </c>
      <c r="L975" t="str">
        <f t="shared" si="76"/>
        <v>High</v>
      </c>
      <c r="M975" t="str">
        <f t="shared" si="77"/>
        <v>Medium</v>
      </c>
      <c r="N975" t="str">
        <f t="shared" si="78"/>
        <v>No PIP</v>
      </c>
      <c r="O975" t="str">
        <f t="shared" ca="1" si="79"/>
        <v>Not Eligible</v>
      </c>
    </row>
    <row r="976" spans="1:15" x14ac:dyDescent="0.25">
      <c r="A976" t="s">
        <v>34</v>
      </c>
      <c r="B976">
        <v>40</v>
      </c>
      <c r="C976">
        <v>50000</v>
      </c>
      <c r="D976" t="s">
        <v>9</v>
      </c>
      <c r="E976" t="s">
        <v>23</v>
      </c>
      <c r="F976" t="s">
        <v>31</v>
      </c>
      <c r="G976" s="1">
        <v>43192</v>
      </c>
      <c r="H976" s="1" t="s">
        <v>29</v>
      </c>
      <c r="I976" s="1" t="s">
        <v>25</v>
      </c>
      <c r="J976" s="1" t="s">
        <v>44</v>
      </c>
      <c r="K976" s="4">
        <f t="shared" ca="1" si="75"/>
        <v>8</v>
      </c>
      <c r="L976" t="str">
        <f t="shared" si="76"/>
        <v>Low</v>
      </c>
      <c r="M976" t="str">
        <f t="shared" si="77"/>
        <v>Medium</v>
      </c>
      <c r="N976" t="str">
        <f t="shared" si="78"/>
        <v>No PIP</v>
      </c>
      <c r="O976" t="str">
        <f t="shared" ca="1" si="79"/>
        <v>Not Eligible</v>
      </c>
    </row>
    <row r="977" spans="1:15" x14ac:dyDescent="0.25">
      <c r="A977" t="s">
        <v>40</v>
      </c>
      <c r="B977">
        <v>50</v>
      </c>
      <c r="C977">
        <v>70000</v>
      </c>
      <c r="D977" t="s">
        <v>9</v>
      </c>
      <c r="E977" t="s">
        <v>27</v>
      </c>
      <c r="F977" t="s">
        <v>31</v>
      </c>
      <c r="G977" s="1">
        <v>43192</v>
      </c>
      <c r="H977" s="1" t="s">
        <v>29</v>
      </c>
      <c r="I977" s="1" t="s">
        <v>18</v>
      </c>
      <c r="J977" s="1" t="s">
        <v>44</v>
      </c>
      <c r="K977" s="4">
        <f t="shared" ca="1" si="75"/>
        <v>8</v>
      </c>
      <c r="L977" t="str">
        <f t="shared" si="76"/>
        <v>High</v>
      </c>
      <c r="M977" t="str">
        <f t="shared" si="77"/>
        <v>Medium</v>
      </c>
      <c r="N977" t="str">
        <f t="shared" si="78"/>
        <v>No PIP</v>
      </c>
      <c r="O977" t="str">
        <f t="shared" ca="1" si="79"/>
        <v>Not Eligible</v>
      </c>
    </row>
    <row r="978" spans="1:15" x14ac:dyDescent="0.25">
      <c r="A978" t="s">
        <v>34</v>
      </c>
      <c r="B978">
        <v>25</v>
      </c>
      <c r="C978">
        <v>55000</v>
      </c>
      <c r="D978" t="s">
        <v>26</v>
      </c>
      <c r="E978" t="s">
        <v>10</v>
      </c>
      <c r="F978" t="s">
        <v>31</v>
      </c>
      <c r="G978" s="1">
        <v>43192</v>
      </c>
      <c r="H978" s="1" t="s">
        <v>12</v>
      </c>
      <c r="I978" s="1" t="s">
        <v>13</v>
      </c>
      <c r="J978" s="1" t="s">
        <v>19</v>
      </c>
      <c r="K978" s="4">
        <f t="shared" ca="1" si="75"/>
        <v>8</v>
      </c>
      <c r="L978" t="str">
        <f t="shared" si="76"/>
        <v>Low</v>
      </c>
      <c r="M978" t="str">
        <f t="shared" si="77"/>
        <v>Low</v>
      </c>
      <c r="N978" t="str">
        <f t="shared" si="78"/>
        <v>PIP</v>
      </c>
      <c r="O978" t="str">
        <f t="shared" ca="1" si="79"/>
        <v>Not Eligible</v>
      </c>
    </row>
    <row r="979" spans="1:15" x14ac:dyDescent="0.25">
      <c r="A979" t="s">
        <v>40</v>
      </c>
      <c r="B979">
        <v>50</v>
      </c>
      <c r="C979">
        <v>60216</v>
      </c>
      <c r="D979" t="s">
        <v>26</v>
      </c>
      <c r="E979" t="s">
        <v>15</v>
      </c>
      <c r="F979" t="s">
        <v>11</v>
      </c>
      <c r="G979" s="1">
        <v>43192</v>
      </c>
      <c r="H979" s="1" t="s">
        <v>29</v>
      </c>
      <c r="I979" s="1" t="s">
        <v>44</v>
      </c>
      <c r="J979" s="1" t="s">
        <v>44</v>
      </c>
      <c r="K979" s="4">
        <f t="shared" ca="1" si="75"/>
        <v>8</v>
      </c>
      <c r="L979" t="str">
        <f t="shared" si="76"/>
        <v>Medium</v>
      </c>
      <c r="M979" t="str">
        <f t="shared" si="77"/>
        <v>Medium</v>
      </c>
      <c r="N979" t="str">
        <f t="shared" si="78"/>
        <v>No PIP</v>
      </c>
      <c r="O979" t="str">
        <f t="shared" ca="1" si="79"/>
        <v>Not Eligible</v>
      </c>
    </row>
    <row r="980" spans="1:15" x14ac:dyDescent="0.25">
      <c r="A980" t="s">
        <v>41</v>
      </c>
      <c r="B980">
        <v>40</v>
      </c>
      <c r="C980">
        <v>55000</v>
      </c>
      <c r="D980" t="s">
        <v>9</v>
      </c>
      <c r="E980" t="s">
        <v>15</v>
      </c>
      <c r="F980" t="s">
        <v>16</v>
      </c>
      <c r="G980" s="1">
        <v>43192</v>
      </c>
      <c r="H980" s="1" t="s">
        <v>29</v>
      </c>
      <c r="I980" s="1" t="s">
        <v>44</v>
      </c>
      <c r="J980" s="1" t="s">
        <v>19</v>
      </c>
      <c r="K980" s="4">
        <f t="shared" ca="1" si="75"/>
        <v>8</v>
      </c>
      <c r="L980" t="str">
        <f t="shared" si="76"/>
        <v>Low</v>
      </c>
      <c r="M980" t="str">
        <f t="shared" si="77"/>
        <v>Medium</v>
      </c>
      <c r="N980" t="str">
        <f t="shared" si="78"/>
        <v>No PIP</v>
      </c>
      <c r="O980" t="str">
        <f t="shared" ca="1" si="79"/>
        <v>Not Eligible</v>
      </c>
    </row>
    <row r="981" spans="1:15" x14ac:dyDescent="0.25">
      <c r="A981" t="s">
        <v>35</v>
      </c>
      <c r="B981">
        <v>30</v>
      </c>
      <c r="C981">
        <v>50000</v>
      </c>
      <c r="D981" t="s">
        <v>9</v>
      </c>
      <c r="E981" t="s">
        <v>15</v>
      </c>
      <c r="F981" t="s">
        <v>11</v>
      </c>
      <c r="G981" s="1">
        <v>43192</v>
      </c>
      <c r="H981" s="1" t="s">
        <v>21</v>
      </c>
      <c r="I981" s="1" t="s">
        <v>25</v>
      </c>
      <c r="J981" s="1" t="s">
        <v>19</v>
      </c>
      <c r="K981" s="4">
        <f t="shared" ca="1" si="75"/>
        <v>8</v>
      </c>
      <c r="L981" t="str">
        <f t="shared" si="76"/>
        <v>Low</v>
      </c>
      <c r="M981" t="str">
        <f t="shared" si="77"/>
        <v>Medium</v>
      </c>
      <c r="N981" t="str">
        <f t="shared" si="78"/>
        <v>No PIP</v>
      </c>
      <c r="O981" t="str">
        <f t="shared" ca="1" si="79"/>
        <v>Not Eligible</v>
      </c>
    </row>
    <row r="982" spans="1:15" x14ac:dyDescent="0.25">
      <c r="A982" t="s">
        <v>36</v>
      </c>
      <c r="B982">
        <v>25</v>
      </c>
      <c r="C982">
        <v>55000</v>
      </c>
      <c r="D982" t="s">
        <v>9</v>
      </c>
      <c r="E982" t="s">
        <v>10</v>
      </c>
      <c r="F982" t="s">
        <v>30</v>
      </c>
      <c r="G982" s="1">
        <v>43192</v>
      </c>
      <c r="H982" s="1" t="s">
        <v>24</v>
      </c>
      <c r="I982" s="1" t="s">
        <v>18</v>
      </c>
      <c r="J982" s="1" t="s">
        <v>22</v>
      </c>
      <c r="K982" s="4">
        <f t="shared" ca="1" si="75"/>
        <v>8</v>
      </c>
      <c r="L982" t="str">
        <f t="shared" si="76"/>
        <v>Low</v>
      </c>
      <c r="M982" t="str">
        <f t="shared" si="77"/>
        <v>High</v>
      </c>
      <c r="N982" t="str">
        <f t="shared" si="78"/>
        <v>No PIP</v>
      </c>
      <c r="O982" t="str">
        <f t="shared" ca="1" si="79"/>
        <v>Eligible</v>
      </c>
    </row>
    <row r="983" spans="1:15" x14ac:dyDescent="0.25">
      <c r="A983" t="s">
        <v>38</v>
      </c>
      <c r="B983">
        <v>25</v>
      </c>
      <c r="C983">
        <v>55000</v>
      </c>
      <c r="D983" t="s">
        <v>9</v>
      </c>
      <c r="E983" t="s">
        <v>20</v>
      </c>
      <c r="F983" t="s">
        <v>28</v>
      </c>
      <c r="G983" s="1">
        <v>43192</v>
      </c>
      <c r="H983" s="1" t="s">
        <v>12</v>
      </c>
      <c r="I983" s="1" t="s">
        <v>44</v>
      </c>
      <c r="J983" s="1" t="s">
        <v>19</v>
      </c>
      <c r="K983" s="4">
        <f t="shared" ca="1" si="75"/>
        <v>8</v>
      </c>
      <c r="L983" t="str">
        <f t="shared" si="76"/>
        <v>Low</v>
      </c>
      <c r="M983" t="str">
        <f t="shared" si="77"/>
        <v>Low</v>
      </c>
      <c r="N983" t="str">
        <f t="shared" si="78"/>
        <v>PIP</v>
      </c>
      <c r="O983" t="str">
        <f t="shared" ca="1" si="79"/>
        <v>Not Eligible</v>
      </c>
    </row>
    <row r="984" spans="1:15" x14ac:dyDescent="0.25">
      <c r="A984" t="s">
        <v>37</v>
      </c>
      <c r="B984">
        <v>25</v>
      </c>
      <c r="C984">
        <v>60000</v>
      </c>
      <c r="D984" t="s">
        <v>26</v>
      </c>
      <c r="E984" t="s">
        <v>27</v>
      </c>
      <c r="F984" t="s">
        <v>31</v>
      </c>
      <c r="G984" s="1">
        <v>43192</v>
      </c>
      <c r="H984" s="1" t="s">
        <v>12</v>
      </c>
      <c r="I984" s="1" t="s">
        <v>44</v>
      </c>
      <c r="J984" s="1" t="s">
        <v>44</v>
      </c>
      <c r="K984" s="4">
        <f t="shared" ca="1" si="75"/>
        <v>8</v>
      </c>
      <c r="L984" t="str">
        <f t="shared" si="76"/>
        <v>Medium</v>
      </c>
      <c r="M984" t="str">
        <f t="shared" si="77"/>
        <v>Low</v>
      </c>
      <c r="N984" t="str">
        <f t="shared" si="78"/>
        <v>PIP</v>
      </c>
      <c r="O984" t="str">
        <f t="shared" ca="1" si="79"/>
        <v>Not Eligible</v>
      </c>
    </row>
    <row r="985" spans="1:15" x14ac:dyDescent="0.25">
      <c r="A985" t="s">
        <v>35</v>
      </c>
      <c r="B985">
        <v>40</v>
      </c>
      <c r="C985">
        <v>55000</v>
      </c>
      <c r="D985" t="s">
        <v>14</v>
      </c>
      <c r="E985" t="s">
        <v>23</v>
      </c>
      <c r="F985" t="s">
        <v>31</v>
      </c>
      <c r="G985" s="1">
        <v>43192</v>
      </c>
      <c r="H985" s="1" t="s">
        <v>24</v>
      </c>
      <c r="I985" s="1" t="s">
        <v>44</v>
      </c>
      <c r="J985" s="1" t="s">
        <v>44</v>
      </c>
      <c r="K985" s="4">
        <f t="shared" ca="1" si="75"/>
        <v>8</v>
      </c>
      <c r="L985" t="str">
        <f t="shared" si="76"/>
        <v>Low</v>
      </c>
      <c r="M985" t="str">
        <f t="shared" si="77"/>
        <v>High</v>
      </c>
      <c r="N985" t="str">
        <f t="shared" si="78"/>
        <v>No PIP</v>
      </c>
      <c r="O985" t="str">
        <f t="shared" ca="1" si="79"/>
        <v>Eligible</v>
      </c>
    </row>
    <row r="986" spans="1:15" x14ac:dyDescent="0.25">
      <c r="A986" t="s">
        <v>33</v>
      </c>
      <c r="B986">
        <v>35</v>
      </c>
      <c r="C986">
        <v>55000</v>
      </c>
      <c r="D986" t="s">
        <v>26</v>
      </c>
      <c r="E986" t="s">
        <v>27</v>
      </c>
      <c r="F986" t="s">
        <v>11</v>
      </c>
      <c r="G986" s="1">
        <v>43192</v>
      </c>
      <c r="H986" s="1" t="s">
        <v>17</v>
      </c>
      <c r="I986" s="1" t="s">
        <v>25</v>
      </c>
      <c r="J986" s="1" t="s">
        <v>32</v>
      </c>
      <c r="K986" s="4">
        <f t="shared" ca="1" si="75"/>
        <v>8</v>
      </c>
      <c r="L986" t="str">
        <f t="shared" si="76"/>
        <v>Low</v>
      </c>
      <c r="M986" t="str">
        <f t="shared" si="77"/>
        <v>Low</v>
      </c>
      <c r="N986" t="str">
        <f t="shared" si="78"/>
        <v>PIP</v>
      </c>
      <c r="O986" t="str">
        <f t="shared" ca="1" si="79"/>
        <v>Not Eligible</v>
      </c>
    </row>
    <row r="987" spans="1:15" x14ac:dyDescent="0.25">
      <c r="A987" t="s">
        <v>42</v>
      </c>
      <c r="B987">
        <v>35</v>
      </c>
      <c r="C987">
        <v>60216</v>
      </c>
      <c r="D987" t="s">
        <v>26</v>
      </c>
      <c r="E987" t="s">
        <v>23</v>
      </c>
      <c r="F987" t="s">
        <v>16</v>
      </c>
      <c r="G987" s="1">
        <v>43192</v>
      </c>
      <c r="H987" s="1" t="s">
        <v>29</v>
      </c>
      <c r="I987" s="1" t="s">
        <v>13</v>
      </c>
      <c r="J987" s="1" t="s">
        <v>19</v>
      </c>
      <c r="K987" s="4">
        <f t="shared" ca="1" si="75"/>
        <v>8</v>
      </c>
      <c r="L987" t="str">
        <f t="shared" si="76"/>
        <v>Medium</v>
      </c>
      <c r="M987" t="str">
        <f t="shared" si="77"/>
        <v>Medium</v>
      </c>
      <c r="N987" t="str">
        <f t="shared" si="78"/>
        <v>No PIP</v>
      </c>
      <c r="O987" t="str">
        <f t="shared" ca="1" si="79"/>
        <v>Not Eligible</v>
      </c>
    </row>
    <row r="988" spans="1:15" x14ac:dyDescent="0.25">
      <c r="A988" t="s">
        <v>33</v>
      </c>
      <c r="B988">
        <v>35</v>
      </c>
      <c r="C988">
        <v>70000</v>
      </c>
      <c r="D988" t="s">
        <v>14</v>
      </c>
      <c r="E988" t="s">
        <v>27</v>
      </c>
      <c r="F988" t="s">
        <v>31</v>
      </c>
      <c r="G988" s="1">
        <v>43192</v>
      </c>
      <c r="H988" s="1" t="s">
        <v>21</v>
      </c>
      <c r="I988" s="1" t="s">
        <v>13</v>
      </c>
      <c r="J988" s="1" t="s">
        <v>22</v>
      </c>
      <c r="K988" s="4">
        <f t="shared" ca="1" si="75"/>
        <v>8</v>
      </c>
      <c r="L988" t="str">
        <f t="shared" si="76"/>
        <v>High</v>
      </c>
      <c r="M988" t="str">
        <f t="shared" si="77"/>
        <v>Medium</v>
      </c>
      <c r="N988" t="str">
        <f t="shared" si="78"/>
        <v>No PIP</v>
      </c>
      <c r="O988" t="str">
        <f t="shared" ca="1" si="79"/>
        <v>Not Eligible</v>
      </c>
    </row>
    <row r="989" spans="1:15" x14ac:dyDescent="0.25">
      <c r="A989" t="s">
        <v>36</v>
      </c>
      <c r="B989">
        <v>50</v>
      </c>
      <c r="C989">
        <v>65000</v>
      </c>
      <c r="D989" t="s">
        <v>14</v>
      </c>
      <c r="E989" t="s">
        <v>20</v>
      </c>
      <c r="F989" t="s">
        <v>11</v>
      </c>
      <c r="G989" s="1">
        <v>43192</v>
      </c>
      <c r="H989" s="1" t="s">
        <v>21</v>
      </c>
      <c r="I989" s="1" t="s">
        <v>25</v>
      </c>
      <c r="J989" s="1" t="s">
        <v>32</v>
      </c>
      <c r="K989" s="4">
        <f t="shared" ca="1" si="75"/>
        <v>8</v>
      </c>
      <c r="L989" t="str">
        <f t="shared" si="76"/>
        <v>High</v>
      </c>
      <c r="M989" t="str">
        <f t="shared" si="77"/>
        <v>Medium</v>
      </c>
      <c r="N989" t="str">
        <f t="shared" si="78"/>
        <v>No PIP</v>
      </c>
      <c r="O989" t="str">
        <f t="shared" ca="1" si="79"/>
        <v>Not Eligible</v>
      </c>
    </row>
    <row r="990" spans="1:15" x14ac:dyDescent="0.25">
      <c r="A990" t="s">
        <v>34</v>
      </c>
      <c r="B990">
        <v>40</v>
      </c>
      <c r="C990">
        <v>60000</v>
      </c>
      <c r="D990" t="s">
        <v>26</v>
      </c>
      <c r="E990" t="s">
        <v>20</v>
      </c>
      <c r="F990" t="s">
        <v>16</v>
      </c>
      <c r="G990" s="1">
        <v>43192</v>
      </c>
      <c r="H990" s="1" t="s">
        <v>21</v>
      </c>
      <c r="I990" s="1" t="s">
        <v>18</v>
      </c>
      <c r="J990" s="1" t="s">
        <v>44</v>
      </c>
      <c r="K990" s="4">
        <f t="shared" ca="1" si="75"/>
        <v>8</v>
      </c>
      <c r="L990" t="str">
        <f t="shared" si="76"/>
        <v>Medium</v>
      </c>
      <c r="M990" t="str">
        <f t="shared" si="77"/>
        <v>Medium</v>
      </c>
      <c r="N990" t="str">
        <f t="shared" si="78"/>
        <v>No PIP</v>
      </c>
      <c r="O990" t="str">
        <f t="shared" ca="1" si="79"/>
        <v>Not Eligible</v>
      </c>
    </row>
    <row r="991" spans="1:15" x14ac:dyDescent="0.25">
      <c r="A991" t="s">
        <v>34</v>
      </c>
      <c r="B991">
        <v>50</v>
      </c>
      <c r="C991">
        <v>65000</v>
      </c>
      <c r="D991" t="s">
        <v>26</v>
      </c>
      <c r="E991" t="s">
        <v>23</v>
      </c>
      <c r="F991" t="s">
        <v>31</v>
      </c>
      <c r="G991" s="1">
        <v>43192</v>
      </c>
      <c r="H991" s="1" t="s">
        <v>29</v>
      </c>
      <c r="I991" s="1" t="s">
        <v>25</v>
      </c>
      <c r="J991" s="1" t="s">
        <v>19</v>
      </c>
      <c r="K991" s="4">
        <f t="shared" ca="1" si="75"/>
        <v>8</v>
      </c>
      <c r="L991" t="str">
        <f t="shared" si="76"/>
        <v>High</v>
      </c>
      <c r="M991" t="str">
        <f t="shared" si="77"/>
        <v>Medium</v>
      </c>
      <c r="N991" t="str">
        <f t="shared" si="78"/>
        <v>No PIP</v>
      </c>
      <c r="O991" t="str">
        <f t="shared" ca="1" si="79"/>
        <v>Not Eligible</v>
      </c>
    </row>
    <row r="992" spans="1:15" x14ac:dyDescent="0.25">
      <c r="A992" t="s">
        <v>39</v>
      </c>
      <c r="B992">
        <v>35</v>
      </c>
      <c r="C992">
        <v>60000</v>
      </c>
      <c r="D992" t="s">
        <v>26</v>
      </c>
      <c r="E992" t="s">
        <v>15</v>
      </c>
      <c r="F992" t="s">
        <v>16</v>
      </c>
      <c r="G992" s="1">
        <v>43192</v>
      </c>
      <c r="H992" s="1" t="s">
        <v>24</v>
      </c>
      <c r="I992" s="1" t="s">
        <v>13</v>
      </c>
      <c r="J992" s="1" t="s">
        <v>19</v>
      </c>
      <c r="K992" s="4">
        <f t="shared" ca="1" si="75"/>
        <v>8</v>
      </c>
      <c r="L992" t="str">
        <f t="shared" si="76"/>
        <v>Medium</v>
      </c>
      <c r="M992" t="str">
        <f t="shared" si="77"/>
        <v>High</v>
      </c>
      <c r="N992" t="str">
        <f t="shared" si="78"/>
        <v>No PIP</v>
      </c>
      <c r="O992" t="str">
        <f t="shared" ca="1" si="79"/>
        <v>Eligible</v>
      </c>
    </row>
    <row r="993" spans="1:15" x14ac:dyDescent="0.25">
      <c r="A993" t="s">
        <v>33</v>
      </c>
      <c r="B993">
        <v>30</v>
      </c>
      <c r="C993">
        <v>60000</v>
      </c>
      <c r="D993" t="s">
        <v>14</v>
      </c>
      <c r="E993" t="s">
        <v>15</v>
      </c>
      <c r="F993" t="s">
        <v>31</v>
      </c>
      <c r="G993" s="1">
        <v>43192</v>
      </c>
      <c r="H993" s="1" t="s">
        <v>29</v>
      </c>
      <c r="I993" s="1" t="s">
        <v>44</v>
      </c>
      <c r="J993" s="1" t="s">
        <v>44</v>
      </c>
      <c r="K993" s="4">
        <f t="shared" ca="1" si="75"/>
        <v>8</v>
      </c>
      <c r="L993" t="str">
        <f t="shared" si="76"/>
        <v>Medium</v>
      </c>
      <c r="M993" t="str">
        <f t="shared" si="77"/>
        <v>Medium</v>
      </c>
      <c r="N993" t="str">
        <f t="shared" si="78"/>
        <v>No PIP</v>
      </c>
      <c r="O993" t="str">
        <f t="shared" ca="1" si="79"/>
        <v>Not Eligible</v>
      </c>
    </row>
    <row r="994" spans="1:15" x14ac:dyDescent="0.25">
      <c r="A994" t="s">
        <v>34</v>
      </c>
      <c r="B994">
        <v>35</v>
      </c>
      <c r="C994">
        <v>60000</v>
      </c>
      <c r="D994" t="s">
        <v>14</v>
      </c>
      <c r="E994" t="s">
        <v>27</v>
      </c>
      <c r="F994" t="s">
        <v>16</v>
      </c>
      <c r="G994" s="1">
        <v>43192</v>
      </c>
      <c r="H994" s="1" t="s">
        <v>24</v>
      </c>
      <c r="I994" s="1" t="s">
        <v>13</v>
      </c>
      <c r="J994" s="1" t="s">
        <v>19</v>
      </c>
      <c r="K994" s="4">
        <f t="shared" ca="1" si="75"/>
        <v>8</v>
      </c>
      <c r="L994" t="str">
        <f t="shared" si="76"/>
        <v>Medium</v>
      </c>
      <c r="M994" t="str">
        <f t="shared" si="77"/>
        <v>High</v>
      </c>
      <c r="N994" t="str">
        <f t="shared" si="78"/>
        <v>No PIP</v>
      </c>
      <c r="O994" t="str">
        <f t="shared" ca="1" si="79"/>
        <v>Eligible</v>
      </c>
    </row>
    <row r="995" spans="1:15" x14ac:dyDescent="0.25">
      <c r="A995" t="s">
        <v>40</v>
      </c>
      <c r="B995">
        <v>30</v>
      </c>
      <c r="C995">
        <v>70000</v>
      </c>
      <c r="D995" t="s">
        <v>9</v>
      </c>
      <c r="E995" t="s">
        <v>10</v>
      </c>
      <c r="F995" t="s">
        <v>30</v>
      </c>
      <c r="G995" s="1">
        <v>43192</v>
      </c>
      <c r="H995" s="1" t="s">
        <v>24</v>
      </c>
      <c r="I995" s="1" t="s">
        <v>44</v>
      </c>
      <c r="J995" s="1" t="s">
        <v>44</v>
      </c>
      <c r="K995" s="4">
        <f t="shared" ca="1" si="75"/>
        <v>8</v>
      </c>
      <c r="L995" t="str">
        <f t="shared" si="76"/>
        <v>High</v>
      </c>
      <c r="M995" t="str">
        <f t="shared" si="77"/>
        <v>High</v>
      </c>
      <c r="N995" t="str">
        <f t="shared" si="78"/>
        <v>No PIP</v>
      </c>
      <c r="O995" t="str">
        <f t="shared" ca="1" si="79"/>
        <v>Eligible</v>
      </c>
    </row>
    <row r="996" spans="1:15" x14ac:dyDescent="0.25">
      <c r="A996" t="s">
        <v>37</v>
      </c>
      <c r="B996">
        <v>25</v>
      </c>
      <c r="C996">
        <v>60000</v>
      </c>
      <c r="D996" t="s">
        <v>26</v>
      </c>
      <c r="E996" t="s">
        <v>23</v>
      </c>
      <c r="F996" t="s">
        <v>16</v>
      </c>
      <c r="G996" s="1">
        <v>43192</v>
      </c>
      <c r="H996" s="1" t="s">
        <v>24</v>
      </c>
      <c r="I996" s="1" t="s">
        <v>44</v>
      </c>
      <c r="J996" s="1" t="s">
        <v>19</v>
      </c>
      <c r="K996" s="4">
        <f t="shared" ca="1" si="75"/>
        <v>8</v>
      </c>
      <c r="L996" t="str">
        <f t="shared" si="76"/>
        <v>Medium</v>
      </c>
      <c r="M996" t="str">
        <f t="shared" si="77"/>
        <v>High</v>
      </c>
      <c r="N996" t="str">
        <f t="shared" si="78"/>
        <v>No PIP</v>
      </c>
      <c r="O996" t="str">
        <f t="shared" ca="1" si="79"/>
        <v>Eligible</v>
      </c>
    </row>
    <row r="997" spans="1:15" x14ac:dyDescent="0.25">
      <c r="A997" t="s">
        <v>36</v>
      </c>
      <c r="B997">
        <v>35</v>
      </c>
      <c r="C997">
        <v>60216</v>
      </c>
      <c r="D997" t="s">
        <v>14</v>
      </c>
      <c r="E997" t="s">
        <v>10</v>
      </c>
      <c r="F997" t="s">
        <v>16</v>
      </c>
      <c r="G997" s="1">
        <v>43192</v>
      </c>
      <c r="H997" s="1" t="s">
        <v>29</v>
      </c>
      <c r="I997" s="1" t="s">
        <v>44</v>
      </c>
      <c r="J997" s="1" t="s">
        <v>44</v>
      </c>
      <c r="K997" s="4">
        <f t="shared" ca="1" si="75"/>
        <v>8</v>
      </c>
      <c r="L997" t="str">
        <f t="shared" si="76"/>
        <v>Medium</v>
      </c>
      <c r="M997" t="str">
        <f t="shared" si="77"/>
        <v>Medium</v>
      </c>
      <c r="N997" t="str">
        <f t="shared" si="78"/>
        <v>No PIP</v>
      </c>
      <c r="O997" t="str">
        <f t="shared" ca="1" si="79"/>
        <v>Not Eligible</v>
      </c>
    </row>
    <row r="998" spans="1:15" x14ac:dyDescent="0.25">
      <c r="A998" t="s">
        <v>35</v>
      </c>
      <c r="B998">
        <v>35</v>
      </c>
      <c r="C998">
        <v>60216</v>
      </c>
      <c r="D998" t="s">
        <v>26</v>
      </c>
      <c r="E998" t="s">
        <v>15</v>
      </c>
      <c r="F998" t="s">
        <v>28</v>
      </c>
      <c r="G998" s="1">
        <v>43192</v>
      </c>
      <c r="H998" s="1" t="s">
        <v>29</v>
      </c>
      <c r="I998" s="1" t="s">
        <v>44</v>
      </c>
      <c r="J998" s="1" t="s">
        <v>19</v>
      </c>
      <c r="K998" s="4">
        <f t="shared" ca="1" si="75"/>
        <v>8</v>
      </c>
      <c r="L998" t="str">
        <f t="shared" si="76"/>
        <v>Medium</v>
      </c>
      <c r="M998" t="str">
        <f t="shared" si="77"/>
        <v>Medium</v>
      </c>
      <c r="N998" t="str">
        <f t="shared" si="78"/>
        <v>No PIP</v>
      </c>
      <c r="O998" t="str">
        <f t="shared" ca="1" si="79"/>
        <v>Not Eligible</v>
      </c>
    </row>
    <row r="999" spans="1:15" x14ac:dyDescent="0.25">
      <c r="A999" t="s">
        <v>33</v>
      </c>
      <c r="B999">
        <v>30</v>
      </c>
      <c r="C999">
        <v>50000</v>
      </c>
      <c r="D999" t="s">
        <v>14</v>
      </c>
      <c r="E999" t="s">
        <v>27</v>
      </c>
      <c r="F999" t="s">
        <v>11</v>
      </c>
      <c r="G999" s="1">
        <v>43192</v>
      </c>
      <c r="H999" s="1" t="s">
        <v>24</v>
      </c>
      <c r="I999" s="1" t="s">
        <v>44</v>
      </c>
      <c r="J999" s="1" t="s">
        <v>44</v>
      </c>
      <c r="K999" s="4">
        <f t="shared" ca="1" si="75"/>
        <v>8</v>
      </c>
      <c r="L999" t="str">
        <f t="shared" si="76"/>
        <v>Low</v>
      </c>
      <c r="M999" t="str">
        <f t="shared" si="77"/>
        <v>High</v>
      </c>
      <c r="N999" t="str">
        <f t="shared" si="78"/>
        <v>No PIP</v>
      </c>
      <c r="O999" t="str">
        <f t="shared" ca="1" si="79"/>
        <v>Eligible</v>
      </c>
    </row>
    <row r="1000" spans="1:15" x14ac:dyDescent="0.25">
      <c r="A1000" t="s">
        <v>37</v>
      </c>
      <c r="B1000">
        <v>30</v>
      </c>
      <c r="C1000">
        <v>50000</v>
      </c>
      <c r="D1000" t="s">
        <v>9</v>
      </c>
      <c r="E1000" t="s">
        <v>15</v>
      </c>
      <c r="F1000" t="s">
        <v>31</v>
      </c>
      <c r="G1000" s="1">
        <v>43192</v>
      </c>
      <c r="H1000" s="1" t="s">
        <v>21</v>
      </c>
      <c r="I1000" s="1" t="s">
        <v>44</v>
      </c>
      <c r="J1000" s="1" t="s">
        <v>32</v>
      </c>
      <c r="K1000" s="4">
        <f t="shared" ca="1" si="75"/>
        <v>8</v>
      </c>
      <c r="L1000" t="str">
        <f t="shared" si="76"/>
        <v>Low</v>
      </c>
      <c r="M1000" t="str">
        <f t="shared" si="77"/>
        <v>Medium</v>
      </c>
      <c r="N1000" t="str">
        <f t="shared" si="78"/>
        <v>No PIP</v>
      </c>
      <c r="O1000" t="str">
        <f t="shared" ca="1" si="79"/>
        <v>Not Eligible</v>
      </c>
    </row>
    <row r="1001" spans="1:15" x14ac:dyDescent="0.25">
      <c r="A1001" t="s">
        <v>40</v>
      </c>
      <c r="B1001">
        <v>25</v>
      </c>
      <c r="C1001">
        <v>65000</v>
      </c>
      <c r="D1001" t="s">
        <v>26</v>
      </c>
      <c r="E1001" t="s">
        <v>27</v>
      </c>
      <c r="F1001" t="s">
        <v>11</v>
      </c>
      <c r="G1001" s="1">
        <v>43192</v>
      </c>
      <c r="H1001" s="1" t="s">
        <v>12</v>
      </c>
      <c r="I1001" s="1" t="s">
        <v>13</v>
      </c>
      <c r="J1001" s="1" t="s">
        <v>44</v>
      </c>
      <c r="K1001" s="4">
        <f t="shared" ca="1" si="75"/>
        <v>8</v>
      </c>
      <c r="L1001" t="str">
        <f t="shared" si="76"/>
        <v>High</v>
      </c>
      <c r="M1001" t="str">
        <f t="shared" si="77"/>
        <v>Low</v>
      </c>
      <c r="N1001" t="str">
        <f t="shared" si="78"/>
        <v>PIP</v>
      </c>
      <c r="O1001" t="str">
        <f t="shared" ca="1" si="79"/>
        <v>Not Eligible</v>
      </c>
    </row>
  </sheetData>
  <autoFilter ref="A1:O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75"/>
  <sheetViews>
    <sheetView zoomScale="85" zoomScaleNormal="85" workbookViewId="0">
      <selection activeCell="K27" sqref="K27"/>
    </sheetView>
  </sheetViews>
  <sheetFormatPr defaultRowHeight="15" x14ac:dyDescent="0.25"/>
  <cols>
    <col min="1" max="1" width="21" bestFit="1" customWidth="1"/>
    <col min="2" max="2" width="14.42578125" bestFit="1" customWidth="1"/>
    <col min="3" max="3" width="8.28515625" bestFit="1" customWidth="1"/>
    <col min="4" max="4" width="5" bestFit="1" customWidth="1"/>
    <col min="5" max="6" width="15.140625" bestFit="1" customWidth="1"/>
    <col min="7" max="7" width="16.42578125" bestFit="1" customWidth="1"/>
    <col min="8" max="8" width="7.28515625" bestFit="1" customWidth="1"/>
    <col min="9" max="9" width="9.140625" customWidth="1"/>
    <col min="10" max="10" width="19.85546875" bestFit="1" customWidth="1"/>
    <col min="11" max="11" width="16.42578125" bestFit="1" customWidth="1"/>
    <col min="12" max="12" width="4" bestFit="1" customWidth="1"/>
    <col min="13" max="13" width="5.28515625" bestFit="1" customWidth="1"/>
    <col min="14" max="14" width="25.7109375" bestFit="1" customWidth="1"/>
    <col min="15" max="15" width="16.42578125" bestFit="1" customWidth="1"/>
    <col min="16" max="16" width="7.28515625" bestFit="1" customWidth="1"/>
    <col min="17" max="17" width="8.28515625" bestFit="1" customWidth="1"/>
    <col min="18" max="18" width="16.42578125" bestFit="1" customWidth="1"/>
    <col min="19" max="19" width="5.28515625" bestFit="1" customWidth="1"/>
    <col min="20" max="20" width="6.140625" bestFit="1" customWidth="1"/>
    <col min="21" max="21" width="5.7109375" customWidth="1"/>
    <col min="22" max="22" width="7.5703125" customWidth="1"/>
    <col min="23" max="23" width="3.5703125" customWidth="1"/>
    <col min="24" max="24" width="4.5703125" customWidth="1"/>
    <col min="25" max="25" width="12.28515625" bestFit="1" customWidth="1"/>
    <col min="26" max="26" width="10.5703125" bestFit="1" customWidth="1"/>
    <col min="27" max="30" width="3.5703125" customWidth="1"/>
    <col min="31" max="31" width="13.28515625" bestFit="1" customWidth="1"/>
  </cols>
  <sheetData>
    <row r="2" spans="1:22" ht="15.75" x14ac:dyDescent="0.25">
      <c r="A2" s="29" t="s">
        <v>64</v>
      </c>
      <c r="B2" s="29"/>
      <c r="C2" s="29"/>
      <c r="D2" s="29"/>
      <c r="E2" s="15"/>
      <c r="F2" s="29" t="s">
        <v>70</v>
      </c>
      <c r="G2" s="29"/>
      <c r="H2" s="29"/>
      <c r="I2" s="15"/>
      <c r="J2" s="29" t="s">
        <v>63</v>
      </c>
      <c r="K2" s="29"/>
      <c r="L2" s="29"/>
      <c r="M2" s="29"/>
      <c r="N2" s="29"/>
      <c r="O2" s="29"/>
      <c r="P2" s="29"/>
      <c r="Q2" s="29" t="s">
        <v>68</v>
      </c>
      <c r="R2" s="29"/>
      <c r="S2" s="29"/>
      <c r="T2" s="29"/>
    </row>
    <row r="3" spans="1:22" x14ac:dyDescent="0.25">
      <c r="A3" s="21" t="s">
        <v>53</v>
      </c>
      <c r="B3" s="21" t="s">
        <v>50</v>
      </c>
      <c r="F3" s="11" t="s">
        <v>53</v>
      </c>
      <c r="G3" s="11" t="s">
        <v>50</v>
      </c>
      <c r="H3" s="9"/>
      <c r="J3" s="11" t="s">
        <v>53</v>
      </c>
      <c r="K3" s="11" t="s">
        <v>50</v>
      </c>
      <c r="L3" s="9"/>
      <c r="M3" s="9"/>
      <c r="N3" s="9"/>
      <c r="O3" s="9"/>
      <c r="Q3" s="11" t="s">
        <v>53</v>
      </c>
      <c r="R3" s="11" t="s">
        <v>50</v>
      </c>
      <c r="S3" s="9"/>
      <c r="T3" s="9"/>
    </row>
    <row r="4" spans="1:22" x14ac:dyDescent="0.25">
      <c r="A4" s="21" t="s">
        <v>46</v>
      </c>
      <c r="B4" t="s">
        <v>59</v>
      </c>
      <c r="C4" t="s">
        <v>60</v>
      </c>
      <c r="D4" t="s">
        <v>58</v>
      </c>
      <c r="F4" s="11" t="s">
        <v>52</v>
      </c>
      <c r="G4" s="9" t="s">
        <v>56</v>
      </c>
      <c r="H4" s="9" t="s">
        <v>57</v>
      </c>
      <c r="J4" s="11" t="s">
        <v>52</v>
      </c>
      <c r="K4" s="9" t="s">
        <v>31</v>
      </c>
      <c r="L4" s="9" t="s">
        <v>30</v>
      </c>
      <c r="M4" s="9" t="s">
        <v>28</v>
      </c>
      <c r="N4" s="9" t="s">
        <v>16</v>
      </c>
      <c r="O4" s="9" t="s">
        <v>11</v>
      </c>
      <c r="Q4" s="11" t="s">
        <v>52</v>
      </c>
      <c r="R4" s="9" t="s">
        <v>14</v>
      </c>
      <c r="S4" s="9" t="s">
        <v>9</v>
      </c>
      <c r="T4" s="9" t="s">
        <v>26</v>
      </c>
    </row>
    <row r="5" spans="1:22" x14ac:dyDescent="0.25">
      <c r="A5" s="5" t="s">
        <v>58</v>
      </c>
      <c r="B5">
        <v>148</v>
      </c>
      <c r="C5">
        <v>144</v>
      </c>
      <c r="D5">
        <v>65</v>
      </c>
      <c r="F5" s="10" t="s">
        <v>15</v>
      </c>
      <c r="G5" s="17">
        <v>0.04</v>
      </c>
      <c r="H5" s="17">
        <v>0.17799999999999999</v>
      </c>
      <c r="J5" s="10" t="s">
        <v>15</v>
      </c>
      <c r="K5" s="9">
        <v>41</v>
      </c>
      <c r="L5" s="9">
        <v>56</v>
      </c>
      <c r="M5" s="9">
        <v>42</v>
      </c>
      <c r="N5" s="9">
        <v>40</v>
      </c>
      <c r="O5" s="9">
        <v>39</v>
      </c>
      <c r="Q5" s="10" t="s">
        <v>15</v>
      </c>
      <c r="R5" s="9">
        <v>60</v>
      </c>
      <c r="S5" s="9">
        <v>74</v>
      </c>
      <c r="T5" s="9">
        <v>84</v>
      </c>
    </row>
    <row r="6" spans="1:22" x14ac:dyDescent="0.25">
      <c r="A6" s="5" t="s">
        <v>60</v>
      </c>
      <c r="B6">
        <v>110</v>
      </c>
      <c r="C6">
        <v>136</v>
      </c>
      <c r="D6">
        <v>64</v>
      </c>
      <c r="F6" s="10" t="s">
        <v>10</v>
      </c>
      <c r="G6" s="17">
        <v>3.3000000000000002E-2</v>
      </c>
      <c r="H6" s="17">
        <v>0.16700000000000001</v>
      </c>
      <c r="J6" s="10" t="s">
        <v>10</v>
      </c>
      <c r="K6" s="9">
        <v>38</v>
      </c>
      <c r="L6" s="9">
        <v>44</v>
      </c>
      <c r="M6" s="9">
        <v>40</v>
      </c>
      <c r="N6" s="9">
        <v>49</v>
      </c>
      <c r="O6" s="9">
        <v>29</v>
      </c>
      <c r="Q6" s="10" t="s">
        <v>10</v>
      </c>
      <c r="R6" s="9">
        <v>64</v>
      </c>
      <c r="S6" s="9">
        <v>74</v>
      </c>
      <c r="T6" s="9">
        <v>62</v>
      </c>
    </row>
    <row r="7" spans="1:22" x14ac:dyDescent="0.25">
      <c r="A7" s="5" t="s">
        <v>59</v>
      </c>
      <c r="B7">
        <v>133</v>
      </c>
      <c r="C7">
        <v>137</v>
      </c>
      <c r="D7">
        <v>63</v>
      </c>
      <c r="F7" s="10" t="s">
        <v>23</v>
      </c>
      <c r="G7" s="17">
        <v>0.04</v>
      </c>
      <c r="H7" s="17">
        <v>0.153</v>
      </c>
      <c r="J7" s="10" t="s">
        <v>23</v>
      </c>
      <c r="K7" s="9">
        <v>39</v>
      </c>
      <c r="L7" s="9">
        <v>34</v>
      </c>
      <c r="M7" s="9">
        <v>42</v>
      </c>
      <c r="N7" s="9">
        <v>41</v>
      </c>
      <c r="O7" s="9">
        <v>37</v>
      </c>
      <c r="Q7" s="10" t="s">
        <v>23</v>
      </c>
      <c r="R7" s="9">
        <v>57</v>
      </c>
      <c r="S7" s="9">
        <v>73</v>
      </c>
      <c r="T7" s="9">
        <v>63</v>
      </c>
    </row>
    <row r="8" spans="1:22" x14ac:dyDescent="0.25">
      <c r="A8" s="5" t="s">
        <v>51</v>
      </c>
      <c r="B8">
        <v>391</v>
      </c>
      <c r="C8">
        <v>417</v>
      </c>
      <c r="D8">
        <v>192</v>
      </c>
      <c r="F8" s="10" t="s">
        <v>27</v>
      </c>
      <c r="G8" s="17">
        <v>4.1000000000000002E-2</v>
      </c>
      <c r="H8" s="17">
        <v>0.14599999999999999</v>
      </c>
      <c r="J8" s="10" t="s">
        <v>27</v>
      </c>
      <c r="K8" s="9">
        <v>40</v>
      </c>
      <c r="L8" s="9">
        <v>31</v>
      </c>
      <c r="M8" s="9">
        <v>44</v>
      </c>
      <c r="N8" s="9">
        <v>37</v>
      </c>
      <c r="O8" s="9">
        <v>35</v>
      </c>
      <c r="Q8" s="10" t="s">
        <v>27</v>
      </c>
      <c r="R8" s="9">
        <v>61</v>
      </c>
      <c r="S8" s="9">
        <v>66</v>
      </c>
      <c r="T8" s="9">
        <v>60</v>
      </c>
    </row>
    <row r="9" spans="1:22" x14ac:dyDescent="0.25">
      <c r="F9" s="10" t="s">
        <v>20</v>
      </c>
      <c r="G9" s="17">
        <v>3.7999999999999999E-2</v>
      </c>
      <c r="H9" s="17">
        <v>0.16400000000000001</v>
      </c>
      <c r="J9" s="10" t="s">
        <v>20</v>
      </c>
      <c r="K9" s="9">
        <v>36</v>
      </c>
      <c r="L9" s="9">
        <v>49</v>
      </c>
      <c r="M9" s="9">
        <v>34</v>
      </c>
      <c r="N9" s="9">
        <v>37</v>
      </c>
      <c r="O9" s="9">
        <v>46</v>
      </c>
      <c r="Q9" s="10" t="s">
        <v>20</v>
      </c>
      <c r="R9" s="9">
        <v>71</v>
      </c>
      <c r="S9" s="9">
        <v>68</v>
      </c>
      <c r="T9" s="9">
        <v>63</v>
      </c>
    </row>
    <row r="10" spans="1:22" x14ac:dyDescent="0.25">
      <c r="F10" s="10" t="s">
        <v>51</v>
      </c>
      <c r="G10" s="17">
        <v>0.192</v>
      </c>
      <c r="H10" s="17">
        <v>0.80800000000000005</v>
      </c>
      <c r="J10" s="10" t="s">
        <v>51</v>
      </c>
      <c r="K10" s="9">
        <v>194</v>
      </c>
      <c r="L10" s="9">
        <v>214</v>
      </c>
      <c r="M10" s="9">
        <v>202</v>
      </c>
      <c r="N10" s="9">
        <v>204</v>
      </c>
      <c r="O10" s="9">
        <v>186</v>
      </c>
      <c r="Q10" s="10" t="s">
        <v>51</v>
      </c>
      <c r="R10" s="9">
        <v>313</v>
      </c>
      <c r="S10" s="9">
        <v>355</v>
      </c>
      <c r="T10" s="9">
        <v>332</v>
      </c>
    </row>
    <row r="13" spans="1:22" ht="15.75" x14ac:dyDescent="0.25">
      <c r="A13" s="16" t="s">
        <v>61</v>
      </c>
      <c r="B13" s="16"/>
      <c r="C13" s="16"/>
      <c r="D13" s="15"/>
      <c r="E13" s="15"/>
      <c r="F13" s="29" t="s">
        <v>69</v>
      </c>
      <c r="G13" s="29"/>
      <c r="H13" s="29"/>
      <c r="I13" s="29"/>
      <c r="J13" s="29" t="s">
        <v>71</v>
      </c>
      <c r="K13" s="29"/>
      <c r="L13" s="29"/>
      <c r="M13" s="29"/>
      <c r="N13" s="30" t="s">
        <v>75</v>
      </c>
      <c r="O13" s="30"/>
      <c r="P13" s="30"/>
      <c r="Q13" s="30"/>
      <c r="R13" s="16"/>
      <c r="S13" s="2"/>
      <c r="V13" s="2"/>
    </row>
    <row r="14" spans="1:22" x14ac:dyDescent="0.25">
      <c r="A14" s="11" t="s">
        <v>45</v>
      </c>
      <c r="B14" s="9" t="s">
        <v>53</v>
      </c>
      <c r="F14" s="11" t="s">
        <v>53</v>
      </c>
      <c r="G14" s="11" t="s">
        <v>50</v>
      </c>
      <c r="H14" s="9"/>
      <c r="J14" s="11" t="s">
        <v>53</v>
      </c>
      <c r="K14" s="11" t="s">
        <v>50</v>
      </c>
      <c r="L14" s="9"/>
      <c r="N14" s="11" t="s">
        <v>62</v>
      </c>
      <c r="O14" s="11" t="s">
        <v>50</v>
      </c>
      <c r="P14" s="9"/>
      <c r="Q14" s="9"/>
    </row>
    <row r="15" spans="1:22" x14ac:dyDescent="0.25">
      <c r="A15" s="12" t="s">
        <v>65</v>
      </c>
      <c r="B15" s="9">
        <v>634</v>
      </c>
      <c r="F15" s="11" t="s">
        <v>52</v>
      </c>
      <c r="G15" s="9" t="s">
        <v>54</v>
      </c>
      <c r="H15" s="9" t="s">
        <v>55</v>
      </c>
      <c r="J15" s="11" t="s">
        <v>47</v>
      </c>
      <c r="K15" s="9" t="s">
        <v>54</v>
      </c>
      <c r="L15" s="9" t="s">
        <v>55</v>
      </c>
      <c r="N15" s="11" t="s">
        <v>47</v>
      </c>
      <c r="O15" s="9" t="s">
        <v>58</v>
      </c>
      <c r="P15" s="9" t="s">
        <v>59</v>
      </c>
      <c r="Q15" s="9" t="s">
        <v>60</v>
      </c>
    </row>
    <row r="16" spans="1:22" x14ac:dyDescent="0.25">
      <c r="A16" s="12" t="s">
        <v>66</v>
      </c>
      <c r="B16" s="9">
        <v>180</v>
      </c>
      <c r="F16" s="10" t="s">
        <v>15</v>
      </c>
      <c r="G16" s="17">
        <v>0.126</v>
      </c>
      <c r="H16" s="17">
        <v>9.1999999999999998E-2</v>
      </c>
      <c r="J16" s="10" t="s">
        <v>58</v>
      </c>
      <c r="K16" s="9">
        <v>192</v>
      </c>
      <c r="L16" s="9"/>
      <c r="N16" s="10" t="s">
        <v>15</v>
      </c>
      <c r="O16" s="17">
        <v>0.04</v>
      </c>
      <c r="P16" s="17">
        <v>9.1999999999999998E-2</v>
      </c>
      <c r="Q16" s="17">
        <v>8.5999999999999993E-2</v>
      </c>
    </row>
    <row r="17" spans="1:17" x14ac:dyDescent="0.25">
      <c r="A17" s="12" t="s">
        <v>67</v>
      </c>
      <c r="B17" s="9">
        <v>186</v>
      </c>
      <c r="F17" s="10" t="s">
        <v>10</v>
      </c>
      <c r="G17" s="17">
        <v>0.121</v>
      </c>
      <c r="H17" s="17">
        <v>7.9000000000000001E-2</v>
      </c>
      <c r="J17" s="10" t="s">
        <v>59</v>
      </c>
      <c r="K17" s="9"/>
      <c r="L17" s="9">
        <v>391</v>
      </c>
      <c r="N17" s="10" t="s">
        <v>10</v>
      </c>
      <c r="O17" s="17">
        <v>3.3000000000000002E-2</v>
      </c>
      <c r="P17" s="17">
        <v>7.9000000000000001E-2</v>
      </c>
      <c r="Q17" s="17">
        <v>8.7999999999999995E-2</v>
      </c>
    </row>
    <row r="18" spans="1:17" x14ac:dyDescent="0.25">
      <c r="A18" s="12" t="s">
        <v>51</v>
      </c>
      <c r="B18" s="9">
        <v>1000</v>
      </c>
      <c r="F18" s="10" t="s">
        <v>23</v>
      </c>
      <c r="G18" s="17">
        <v>0.127</v>
      </c>
      <c r="H18" s="17">
        <v>6.6000000000000003E-2</v>
      </c>
      <c r="J18" s="10" t="s">
        <v>60</v>
      </c>
      <c r="K18" s="9">
        <v>417</v>
      </c>
      <c r="L18" s="9"/>
      <c r="N18" s="10" t="s">
        <v>23</v>
      </c>
      <c r="O18" s="17">
        <v>0.04</v>
      </c>
      <c r="P18" s="17">
        <v>6.6000000000000003E-2</v>
      </c>
      <c r="Q18" s="17">
        <v>8.6999999999999994E-2</v>
      </c>
    </row>
    <row r="19" spans="1:17" x14ac:dyDescent="0.25">
      <c r="F19" s="10" t="s">
        <v>27</v>
      </c>
      <c r="G19" s="17">
        <v>0.122</v>
      </c>
      <c r="H19" s="17">
        <v>6.5000000000000002E-2</v>
      </c>
      <c r="J19" s="10" t="s">
        <v>51</v>
      </c>
      <c r="K19" s="9">
        <v>609</v>
      </c>
      <c r="L19" s="9">
        <v>391</v>
      </c>
      <c r="N19" s="10" t="s">
        <v>27</v>
      </c>
      <c r="O19" s="17">
        <v>4.1000000000000002E-2</v>
      </c>
      <c r="P19" s="17">
        <v>6.5000000000000002E-2</v>
      </c>
      <c r="Q19" s="17">
        <v>8.1000000000000003E-2</v>
      </c>
    </row>
    <row r="20" spans="1:17" x14ac:dyDescent="0.25">
      <c r="F20" s="10" t="s">
        <v>20</v>
      </c>
      <c r="G20" s="17">
        <v>0.113</v>
      </c>
      <c r="H20" s="17">
        <v>8.8999999999999996E-2</v>
      </c>
      <c r="N20" s="10" t="s">
        <v>20</v>
      </c>
      <c r="O20" s="17">
        <v>3.7999999999999999E-2</v>
      </c>
      <c r="P20" s="17">
        <v>8.8999999999999996E-2</v>
      </c>
      <c r="Q20" s="17">
        <v>7.4999999999999997E-2</v>
      </c>
    </row>
    <row r="21" spans="1:17" x14ac:dyDescent="0.25">
      <c r="F21" s="10" t="s">
        <v>51</v>
      </c>
      <c r="G21" s="17">
        <v>0.60899999999999999</v>
      </c>
      <c r="H21" s="17">
        <v>0.39100000000000001</v>
      </c>
      <c r="N21" s="10" t="s">
        <v>51</v>
      </c>
      <c r="O21" s="17">
        <v>0.192</v>
      </c>
      <c r="P21" s="17">
        <v>0.39100000000000001</v>
      </c>
      <c r="Q21" s="17">
        <v>0.41699999999999998</v>
      </c>
    </row>
    <row r="24" spans="1:17" ht="15.75" x14ac:dyDescent="0.25">
      <c r="A24" s="32" t="s">
        <v>72</v>
      </c>
      <c r="B24" s="32"/>
      <c r="C24" s="32"/>
      <c r="E24" s="19" t="s">
        <v>73</v>
      </c>
      <c r="F24" s="19"/>
      <c r="G24" s="19" t="s">
        <v>74</v>
      </c>
      <c r="H24" s="9"/>
    </row>
    <row r="25" spans="1:17" x14ac:dyDescent="0.25">
      <c r="A25" s="9">
        <f>GETPIVOTDATA("Name",$A$14)</f>
        <v>1000</v>
      </c>
      <c r="B25" s="9"/>
      <c r="C25" s="9"/>
      <c r="E25" s="17">
        <f>GETPIVOTDATA("Name",$F$3,"Promotion Eligibility","Eligible")</f>
        <v>0.192</v>
      </c>
      <c r="F25" s="9"/>
      <c r="G25" s="20">
        <f>GETPIVOTDATA("Name",$F$14,"PIP Status","PIP")</f>
        <v>0.39100000000000001</v>
      </c>
      <c r="H25" s="9"/>
      <c r="I25" s="18"/>
    </row>
    <row r="37" spans="5:14" x14ac:dyDescent="0.25">
      <c r="L37" s="6"/>
      <c r="M37" s="6"/>
      <c r="N37" s="6"/>
    </row>
    <row r="38" spans="5:14" x14ac:dyDescent="0.25">
      <c r="L38" s="5"/>
    </row>
    <row r="39" spans="5:14" x14ac:dyDescent="0.25">
      <c r="L39" s="5"/>
    </row>
    <row r="40" spans="5:14" x14ac:dyDescent="0.25">
      <c r="E40" s="6"/>
      <c r="F40" s="6"/>
      <c r="G40" s="6"/>
      <c r="H40" s="6"/>
      <c r="I40" s="6"/>
      <c r="J40" s="6"/>
      <c r="L40" s="5"/>
    </row>
    <row r="41" spans="5:14" x14ac:dyDescent="0.25">
      <c r="E41" s="5"/>
      <c r="L41" s="5"/>
    </row>
    <row r="42" spans="5:14" x14ac:dyDescent="0.25">
      <c r="E42" s="5"/>
      <c r="L42" s="5"/>
    </row>
    <row r="43" spans="5:14" x14ac:dyDescent="0.25">
      <c r="E43" s="5"/>
      <c r="L43" s="7"/>
      <c r="M43" s="8"/>
      <c r="N43" s="8"/>
    </row>
    <row r="44" spans="5:14" x14ac:dyDescent="0.25">
      <c r="E44" s="5"/>
    </row>
    <row r="45" spans="5:14" x14ac:dyDescent="0.25">
      <c r="E45" s="5"/>
      <c r="K45" s="2"/>
      <c r="L45" s="2"/>
      <c r="M45" s="2"/>
    </row>
    <row r="46" spans="5:14" x14ac:dyDescent="0.25">
      <c r="E46" s="6"/>
      <c r="F46" s="6"/>
      <c r="G46" s="6"/>
      <c r="H46" s="6"/>
      <c r="I46" s="8"/>
      <c r="J46" s="8"/>
      <c r="L46" s="6"/>
      <c r="M46" s="6"/>
    </row>
    <row r="47" spans="5:14" x14ac:dyDescent="0.25">
      <c r="E47" s="5"/>
      <c r="K47" s="5"/>
    </row>
    <row r="48" spans="5:14" x14ac:dyDescent="0.25">
      <c r="E48" s="5"/>
      <c r="K48" s="5"/>
    </row>
    <row r="49" spans="5:14" x14ac:dyDescent="0.25">
      <c r="E49" s="5"/>
      <c r="K49" s="5"/>
    </row>
    <row r="50" spans="5:14" x14ac:dyDescent="0.25">
      <c r="E50" s="5"/>
      <c r="K50" s="5"/>
    </row>
    <row r="51" spans="5:14" x14ac:dyDescent="0.25">
      <c r="E51" s="5"/>
      <c r="K51" s="5"/>
      <c r="N51" s="6"/>
    </row>
    <row r="52" spans="5:14" x14ac:dyDescent="0.25">
      <c r="E52" s="7"/>
      <c r="F52" s="8"/>
      <c r="G52" s="8"/>
      <c r="H52" s="8"/>
      <c r="K52" s="7"/>
      <c r="L52" s="8"/>
      <c r="M52" s="8"/>
    </row>
    <row r="61" spans="5:14" x14ac:dyDescent="0.25">
      <c r="E61" s="5"/>
    </row>
    <row r="62" spans="5:14" x14ac:dyDescent="0.25">
      <c r="E62" s="5"/>
    </row>
    <row r="63" spans="5:14" x14ac:dyDescent="0.25">
      <c r="E63" s="5"/>
    </row>
    <row r="64" spans="5:14" x14ac:dyDescent="0.25">
      <c r="E64" s="5"/>
    </row>
    <row r="67" spans="9:17" x14ac:dyDescent="0.25">
      <c r="L67" s="6"/>
      <c r="M67" s="6"/>
      <c r="N67" s="6"/>
      <c r="O67" s="6"/>
      <c r="P67" s="6"/>
      <c r="Q67" s="6"/>
    </row>
    <row r="68" spans="9:17" x14ac:dyDescent="0.25">
      <c r="I68" s="31"/>
      <c r="J68" s="31"/>
      <c r="K68" s="31"/>
      <c r="L68" s="31"/>
      <c r="M68" s="31"/>
      <c r="N68" s="31"/>
    </row>
    <row r="69" spans="9:17" x14ac:dyDescent="0.25">
      <c r="I69" s="6"/>
      <c r="J69" s="6"/>
      <c r="K69" s="6"/>
      <c r="L69" s="6"/>
      <c r="M69" s="6"/>
    </row>
    <row r="70" spans="9:17" x14ac:dyDescent="0.25">
      <c r="I70" s="5"/>
    </row>
    <row r="71" spans="9:17" x14ac:dyDescent="0.25">
      <c r="I71" s="5"/>
    </row>
    <row r="72" spans="9:17" x14ac:dyDescent="0.25">
      <c r="I72" s="5"/>
    </row>
    <row r="73" spans="9:17" x14ac:dyDescent="0.25">
      <c r="I73" s="5"/>
      <c r="O73" s="8"/>
      <c r="P73" s="8"/>
      <c r="Q73" s="8"/>
    </row>
    <row r="74" spans="9:17" x14ac:dyDescent="0.25">
      <c r="I74" s="5"/>
    </row>
    <row r="75" spans="9:17" x14ac:dyDescent="0.25">
      <c r="I75" s="7"/>
      <c r="J75" s="8"/>
      <c r="K75" s="8"/>
      <c r="L75" s="8"/>
      <c r="M75" s="8"/>
    </row>
  </sheetData>
  <mergeCells count="9">
    <mergeCell ref="Q2:T2"/>
    <mergeCell ref="J2:P2"/>
    <mergeCell ref="N13:Q13"/>
    <mergeCell ref="I68:N68"/>
    <mergeCell ref="A2:D2"/>
    <mergeCell ref="F13:I13"/>
    <mergeCell ref="J13:M13"/>
    <mergeCell ref="F2:H2"/>
    <mergeCell ref="A24:C24"/>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K1"/>
  <sheetViews>
    <sheetView showGridLines="0" zoomScale="50" zoomScaleNormal="50" workbookViewId="0">
      <selection activeCell="AD55" sqref="AD55"/>
    </sheetView>
  </sheetViews>
  <sheetFormatPr defaultColWidth="8.85546875" defaultRowHeight="15" x14ac:dyDescent="0.25"/>
  <cols>
    <col min="1" max="16384" width="8.85546875" style="14"/>
  </cols>
  <sheetData>
    <row r="1" spans="11:11" x14ac:dyDescent="0.25">
      <c r="K1" s="13" t="e">
        <f>GETPIVOTDATA("Name",Pivot_Table!#REF!)</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15"/>
  <sheetViews>
    <sheetView showGridLines="0" tabSelected="1" zoomScale="85" zoomScaleNormal="85" workbookViewId="0"/>
  </sheetViews>
  <sheetFormatPr defaultColWidth="8.85546875" defaultRowHeight="15" x14ac:dyDescent="0.25"/>
  <cols>
    <col min="1" max="1" width="8.85546875" style="22"/>
    <col min="2" max="2" width="9.28515625" style="22" customWidth="1"/>
    <col min="3" max="14" width="8.85546875" style="22"/>
    <col min="15" max="15" width="32.7109375" style="22" customWidth="1"/>
    <col min="16" max="16384" width="8.85546875" style="22"/>
  </cols>
  <sheetData>
    <row r="1" spans="2:17" ht="28.5" x14ac:dyDescent="0.45">
      <c r="E1" s="33" t="s">
        <v>76</v>
      </c>
      <c r="F1" s="33"/>
      <c r="G1" s="33"/>
      <c r="H1" s="33"/>
      <c r="I1" s="33"/>
      <c r="J1" s="33"/>
      <c r="K1" s="33"/>
      <c r="L1" s="33"/>
      <c r="M1" s="33"/>
      <c r="N1" s="33"/>
      <c r="O1" s="33"/>
      <c r="P1" s="33"/>
    </row>
    <row r="3" spans="2:17" ht="21" x14ac:dyDescent="0.35">
      <c r="B3" s="26" t="s">
        <v>77</v>
      </c>
      <c r="C3" s="26"/>
      <c r="D3" s="26"/>
      <c r="E3" s="26"/>
      <c r="F3" s="26"/>
      <c r="G3" s="26"/>
      <c r="H3" s="26"/>
      <c r="I3" s="26"/>
      <c r="J3" s="26"/>
      <c r="K3" s="26"/>
      <c r="L3" s="26"/>
      <c r="M3" s="26"/>
      <c r="N3" s="26"/>
      <c r="O3" s="26"/>
      <c r="P3" s="24"/>
      <c r="Q3" s="24"/>
    </row>
    <row r="4" spans="2:17" ht="21" x14ac:dyDescent="0.35">
      <c r="B4" s="24"/>
      <c r="C4" s="24"/>
      <c r="D4" s="24"/>
      <c r="E4" s="24"/>
      <c r="F4" s="24"/>
      <c r="G4" s="24"/>
      <c r="H4" s="24"/>
      <c r="I4" s="24"/>
      <c r="J4" s="24"/>
      <c r="K4" s="24"/>
      <c r="L4" s="24"/>
      <c r="M4" s="24"/>
      <c r="N4" s="24"/>
      <c r="O4" s="24"/>
      <c r="P4" s="24"/>
      <c r="Q4" s="24"/>
    </row>
    <row r="5" spans="2:17" ht="21" x14ac:dyDescent="0.35">
      <c r="B5" s="26" t="s">
        <v>78</v>
      </c>
      <c r="C5" s="26"/>
      <c r="D5" s="26"/>
      <c r="E5" s="26"/>
      <c r="F5" s="26"/>
      <c r="G5" s="26"/>
      <c r="H5" s="26"/>
      <c r="I5" s="26"/>
      <c r="J5" s="26"/>
      <c r="K5" s="26"/>
      <c r="L5" s="26"/>
      <c r="M5" s="26"/>
      <c r="N5" s="26"/>
      <c r="O5" s="26"/>
      <c r="P5" s="26"/>
      <c r="Q5" s="26"/>
    </row>
    <row r="6" spans="2:17" ht="21" x14ac:dyDescent="0.35">
      <c r="B6" s="24"/>
      <c r="C6" s="24"/>
      <c r="D6" s="24"/>
      <c r="E6" s="24"/>
      <c r="F6" s="24"/>
      <c r="G6" s="24"/>
      <c r="H6" s="24"/>
      <c r="I6" s="24"/>
      <c r="J6" s="24"/>
      <c r="K6" s="24"/>
      <c r="L6" s="24"/>
      <c r="M6" s="24"/>
      <c r="N6" s="24"/>
      <c r="O6" s="24"/>
      <c r="P6" s="24"/>
      <c r="Q6" s="24"/>
    </row>
    <row r="7" spans="2:17" ht="21" x14ac:dyDescent="0.35">
      <c r="B7" s="26" t="s">
        <v>79</v>
      </c>
      <c r="C7" s="26"/>
      <c r="D7" s="26"/>
      <c r="E7" s="26"/>
      <c r="F7" s="26"/>
      <c r="G7" s="26"/>
      <c r="H7" s="26"/>
      <c r="I7" s="26"/>
      <c r="J7" s="26"/>
      <c r="K7" s="26"/>
      <c r="L7" s="26"/>
      <c r="M7" s="26"/>
      <c r="N7" s="26"/>
      <c r="O7" s="27"/>
      <c r="P7" s="24"/>
      <c r="Q7" s="24"/>
    </row>
    <row r="8" spans="2:17" ht="21" x14ac:dyDescent="0.35">
      <c r="B8" s="24"/>
      <c r="C8" s="24"/>
      <c r="D8" s="24"/>
      <c r="E8" s="24"/>
      <c r="F8" s="24"/>
      <c r="G8" s="24"/>
      <c r="H8" s="24"/>
      <c r="I8" s="24"/>
      <c r="J8" s="24"/>
      <c r="K8" s="24"/>
      <c r="L8" s="24"/>
      <c r="M8" s="24"/>
      <c r="N8" s="24"/>
      <c r="O8" s="24"/>
      <c r="P8" s="24"/>
    </row>
    <row r="9" spans="2:17" ht="21" x14ac:dyDescent="0.35">
      <c r="B9" s="26" t="s">
        <v>80</v>
      </c>
      <c r="C9" s="26"/>
      <c r="D9" s="26"/>
      <c r="E9" s="26"/>
      <c r="F9" s="26"/>
      <c r="G9" s="26"/>
      <c r="H9" s="26"/>
      <c r="I9" s="26"/>
      <c r="J9" s="26"/>
      <c r="K9" s="26"/>
      <c r="L9" s="26"/>
      <c r="M9" s="26"/>
      <c r="N9" s="26"/>
      <c r="O9" s="26"/>
      <c r="P9" s="24"/>
    </row>
    <row r="10" spans="2:17" ht="21" x14ac:dyDescent="0.35">
      <c r="B10" s="24"/>
      <c r="C10" s="24"/>
      <c r="D10" s="24"/>
      <c r="E10" s="24"/>
      <c r="F10" s="24"/>
      <c r="G10" s="24"/>
      <c r="H10" s="24"/>
      <c r="I10" s="24"/>
      <c r="J10" s="24"/>
      <c r="K10" s="24"/>
      <c r="L10" s="24"/>
      <c r="M10" s="24"/>
      <c r="N10" s="24"/>
      <c r="O10" s="24"/>
      <c r="P10" s="24"/>
    </row>
    <row r="11" spans="2:17" ht="21" x14ac:dyDescent="0.35">
      <c r="B11" s="26" t="s">
        <v>81</v>
      </c>
      <c r="C11" s="26"/>
      <c r="D11" s="26"/>
      <c r="E11" s="26"/>
      <c r="F11" s="26"/>
      <c r="G11" s="26"/>
      <c r="H11" s="26"/>
      <c r="I11" s="26"/>
      <c r="J11" s="26"/>
      <c r="K11" s="26"/>
      <c r="L11" s="26"/>
      <c r="M11" s="26"/>
      <c r="N11" s="26"/>
      <c r="O11" s="26"/>
      <c r="P11" s="25"/>
      <c r="Q11" s="24"/>
    </row>
    <row r="12" spans="2:17" ht="21" x14ac:dyDescent="0.35">
      <c r="B12" s="24"/>
      <c r="C12" s="24"/>
      <c r="D12" s="24"/>
      <c r="E12" s="24"/>
      <c r="F12" s="24"/>
      <c r="G12" s="24"/>
      <c r="H12" s="24"/>
      <c r="I12" s="24"/>
      <c r="J12" s="24"/>
      <c r="K12" s="24"/>
      <c r="L12" s="24"/>
      <c r="M12" s="24"/>
      <c r="N12" s="24"/>
      <c r="O12" s="24"/>
      <c r="P12" s="24"/>
      <c r="Q12" s="24"/>
    </row>
    <row r="13" spans="2:17" ht="21" x14ac:dyDescent="0.35">
      <c r="B13" s="26" t="s">
        <v>82</v>
      </c>
      <c r="C13" s="26"/>
      <c r="D13" s="26"/>
      <c r="E13" s="26"/>
      <c r="F13" s="26"/>
      <c r="G13" s="26"/>
      <c r="H13" s="26"/>
      <c r="I13" s="26"/>
      <c r="J13" s="26"/>
      <c r="K13" s="26"/>
      <c r="L13" s="26"/>
      <c r="M13" s="26"/>
      <c r="N13" s="26"/>
      <c r="O13" s="26"/>
      <c r="P13" s="26"/>
      <c r="Q13" s="24"/>
    </row>
    <row r="14" spans="2:17" ht="18.75" x14ac:dyDescent="0.3">
      <c r="B14" s="23"/>
      <c r="C14" s="23"/>
      <c r="D14" s="23"/>
      <c r="E14" s="23"/>
      <c r="F14" s="23"/>
      <c r="G14" s="23"/>
      <c r="H14" s="23"/>
      <c r="I14" s="23"/>
      <c r="J14" s="23"/>
      <c r="K14" s="23"/>
      <c r="L14" s="23"/>
      <c r="M14" s="23"/>
      <c r="N14" s="23"/>
      <c r="O14" s="23"/>
    </row>
    <row r="15" spans="2:17" ht="21" x14ac:dyDescent="0.35">
      <c r="B15" s="26" t="s">
        <v>83</v>
      </c>
      <c r="C15" s="26"/>
      <c r="D15" s="26"/>
      <c r="E15" s="26"/>
      <c r="F15" s="26"/>
      <c r="G15" s="26"/>
      <c r="H15" s="26"/>
      <c r="I15" s="26"/>
      <c r="J15" s="26"/>
      <c r="K15" s="26"/>
      <c r="L15" s="26"/>
      <c r="M15" s="26"/>
      <c r="N15" s="28"/>
      <c r="O15" s="28"/>
      <c r="P15" s="28"/>
    </row>
  </sheetData>
  <mergeCells count="1">
    <mergeCell ref="E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Pivot_Table</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Harika B</cp:lastModifiedBy>
  <dcterms:created xsi:type="dcterms:W3CDTF">2026-03-31T16:41:36Z</dcterms:created>
  <dcterms:modified xsi:type="dcterms:W3CDTF">2026-04-13T07:43:40Z</dcterms:modified>
</cp:coreProperties>
</file>